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55179\Documents\GitHub\Portfolio\"/>
    </mc:Choice>
  </mc:AlternateContent>
  <bookViews>
    <workbookView xWindow="0" yWindow="0" windowWidth="23040" windowHeight="9780" activeTab="3"/>
  </bookViews>
  <sheets>
    <sheet name="PF" sheetId="5" r:id="rId1"/>
    <sheet name="PJ" sheetId="1" r:id="rId2"/>
    <sheet name="Processos" sheetId="4" r:id="rId3"/>
    <sheet name="Peticoes" sheetId="9" r:id="rId4"/>
    <sheet name="Servicos" sheetId="7" r:id="rId5"/>
  </sheets>
  <definedNames>
    <definedName name="_GoBack" localSheetId="1">PJ!#REF!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A3" i="9" l="1"/>
  <c r="A2" i="9"/>
  <c r="A3" i="4"/>
  <c r="A4" i="4"/>
  <c r="A5" i="4"/>
  <c r="A6" i="4"/>
  <c r="A7" i="4"/>
  <c r="A8" i="4"/>
  <c r="A2" i="4"/>
  <c r="A2" i="1"/>
  <c r="A3" i="1" l="1"/>
  <c r="A4" i="1"/>
  <c r="A5" i="1"/>
  <c r="A6" i="1"/>
  <c r="M5" i="5"/>
  <c r="M6" i="5"/>
  <c r="B236" i="7"/>
  <c r="B237" i="7"/>
  <c r="B238" i="7"/>
  <c r="B239" i="7"/>
  <c r="A4" i="5"/>
  <c r="A5" i="5"/>
  <c r="A6" i="5"/>
  <c r="J4" i="5"/>
  <c r="J5" i="5"/>
  <c r="M4" i="5"/>
  <c r="N4" i="5"/>
  <c r="N5" i="5"/>
  <c r="O4" i="5"/>
  <c r="A3" i="5"/>
  <c r="A2" i="5"/>
  <c r="J3" i="5"/>
  <c r="B2" i="7"/>
  <c r="O2" i="5" s="1"/>
  <c r="O5" i="5" l="1"/>
  <c r="N6" i="5"/>
  <c r="O6" i="5"/>
  <c r="J6" i="5"/>
  <c r="J2" i="5"/>
  <c r="O3" i="5"/>
  <c r="M2" i="5"/>
  <c r="N3" i="5"/>
  <c r="N2" i="5"/>
  <c r="M3" i="5"/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" i="7"/>
  <c r="F6" i="1" l="1"/>
  <c r="I6" i="1"/>
  <c r="J6" i="1"/>
  <c r="K6" i="1"/>
  <c r="F5" i="1"/>
  <c r="I5" i="1"/>
  <c r="J5" i="1"/>
  <c r="K5" i="1"/>
  <c r="K4" i="1"/>
  <c r="F4" i="1"/>
  <c r="I4" i="1"/>
  <c r="J4" i="1"/>
  <c r="K3" i="1"/>
  <c r="F3" i="1"/>
  <c r="I3" i="1"/>
  <c r="J3" i="1"/>
  <c r="K2" i="1"/>
  <c r="F2" i="1"/>
  <c r="I2" i="1"/>
  <c r="J2" i="1"/>
</calcChain>
</file>

<file path=xl/sharedStrings.xml><?xml version="1.0" encoding="utf-8"?>
<sst xmlns="http://schemas.openxmlformats.org/spreadsheetml/2006/main" count="194" uniqueCount="118">
  <si>
    <t>SP</t>
  </si>
  <si>
    <t>BuscaCepPF</t>
  </si>
  <si>
    <t>BuscaCepPJ</t>
  </si>
  <si>
    <t>SSP/SP</t>
  </si>
  <si>
    <t>cliente</t>
  </si>
  <si>
    <t>SÃO JOSÉ DO RIO PRETO</t>
  </si>
  <si>
    <t>1ª VARA CÍVEL</t>
  </si>
  <si>
    <t>7ª VARA CÍVEL</t>
  </si>
  <si>
    <t>8ª VARA CÍVEL</t>
  </si>
  <si>
    <t>brasileiro(a)</t>
  </si>
  <si>
    <t>divorciado(a)</t>
  </si>
  <si>
    <t>solteiro(a)</t>
  </si>
  <si>
    <t>casado(a)</t>
  </si>
  <si>
    <t>cabelereiro(a)</t>
  </si>
  <si>
    <t>desempregado(a)</t>
  </si>
  <si>
    <t>aposentado(a)</t>
  </si>
  <si>
    <t>empresário(a)</t>
  </si>
  <si>
    <t>4ª VARA CÍVEL</t>
  </si>
  <si>
    <t>professor(a)</t>
  </si>
  <si>
    <t>xNOMEx</t>
  </si>
  <si>
    <t>xESTADO_CIVILx</t>
  </si>
  <si>
    <t>xPROFISSAOx</t>
  </si>
  <si>
    <t>xNACIONALIDADEx</t>
  </si>
  <si>
    <t>xCEPx</t>
  </si>
  <si>
    <t>xCOMPLEMENTOx</t>
  </si>
  <si>
    <t>xBAIRROx</t>
  </si>
  <si>
    <t>xCIDADEx</t>
  </si>
  <si>
    <t>xUFx</t>
  </si>
  <si>
    <t>xEMAILx</t>
  </si>
  <si>
    <t>xESCRITORIOx</t>
  </si>
  <si>
    <t>xCADASTROx</t>
  </si>
  <si>
    <t>n/c</t>
  </si>
  <si>
    <t>xNUMEROx</t>
  </si>
  <si>
    <t>viúvo(a)</t>
  </si>
  <si>
    <t>xNUMERO_PROCESSOx</t>
  </si>
  <si>
    <t>xVARAx</t>
  </si>
  <si>
    <t>xCOMARCAx</t>
  </si>
  <si>
    <t>xESTADOx</t>
  </si>
  <si>
    <t>xCLIENTEx</t>
  </si>
  <si>
    <t>xADVERSOx</t>
  </si>
  <si>
    <t>Apto. 31</t>
  </si>
  <si>
    <t>Apto. 41</t>
  </si>
  <si>
    <t>Qd. 11, Lt. 02</t>
  </si>
  <si>
    <t>xCPFx</t>
  </si>
  <si>
    <t>xRGx</t>
  </si>
  <si>
    <t>xEXPEDIDOR_RGx</t>
  </si>
  <si>
    <t>xLOGRADOUROx</t>
  </si>
  <si>
    <t>xCELx</t>
  </si>
  <si>
    <t>xADMINISTRADORx</t>
  </si>
  <si>
    <t>xCNPJx</t>
  </si>
  <si>
    <t>teste</t>
  </si>
  <si>
    <t>xIDPFx</t>
  </si>
  <si>
    <t>xIDPJx</t>
  </si>
  <si>
    <t>xIDPROCESSOSx</t>
  </si>
  <si>
    <t>xACAOx</t>
  </si>
  <si>
    <t>xIDPETICOESx</t>
  </si>
  <si>
    <t>xVALOR_DA_CAUSAx</t>
  </si>
  <si>
    <t>xAREAx</t>
  </si>
  <si>
    <t>xPECAx</t>
  </si>
  <si>
    <t>xATRIBUTOSx</t>
  </si>
  <si>
    <t>.</t>
  </si>
  <si>
    <t>A, B, C, D</t>
  </si>
  <si>
    <t>xLISTA_PETICOESx</t>
  </si>
  <si>
    <t>0101-0101</t>
  </si>
  <si>
    <t>0202-0202</t>
  </si>
  <si>
    <t>0303-0303</t>
  </si>
  <si>
    <t>0404-0404</t>
  </si>
  <si>
    <t>0505-0505</t>
  </si>
  <si>
    <t>0606-0606</t>
  </si>
  <si>
    <t>0707-0707</t>
  </si>
  <si>
    <t>Cobrança</t>
  </si>
  <si>
    <t>Execução de Alimentos</t>
  </si>
  <si>
    <t>QQ, WW, EE</t>
  </si>
  <si>
    <t>061.689.120-29</t>
  </si>
  <si>
    <t>100.900.480-83</t>
  </si>
  <si>
    <t>059.642.010-24</t>
  </si>
  <si>
    <t>291.238.740-07</t>
  </si>
  <si>
    <t>421.684.810-91</t>
  </si>
  <si>
    <t>49.328.833-8</t>
  </si>
  <si>
    <t>20.332.170-4</t>
  </si>
  <si>
    <t>21.897.519-3</t>
  </si>
  <si>
    <t>34.881.067-2</t>
  </si>
  <si>
    <t>40.967.757-7</t>
  </si>
  <si>
    <t>58406-125</t>
  </si>
  <si>
    <t>20750-000</t>
  </si>
  <si>
    <t>74966-230</t>
  </si>
  <si>
    <t>89239-226</t>
  </si>
  <si>
    <t>66020-645</t>
  </si>
  <si>
    <t>Apto. 1</t>
  </si>
  <si>
    <t>Casa 46B</t>
  </si>
  <si>
    <t>outroteste</t>
  </si>
  <si>
    <t>Advocacia</t>
  </si>
  <si>
    <t>ABC</t>
  </si>
  <si>
    <t>Douglas Adam</t>
  </si>
  <si>
    <t>Patrick Rothfuss</t>
  </si>
  <si>
    <t>George R. R. Martin</t>
  </si>
  <si>
    <t>Brandon Sanderson</t>
  </si>
  <si>
    <t>Maurice Leblanc</t>
  </si>
  <si>
    <t>Bernard Cornwell</t>
  </si>
  <si>
    <t>Terry Pratchett</t>
  </si>
  <si>
    <t>H. P. Lovecraft</t>
  </si>
  <si>
    <t>Willian Gibson</t>
  </si>
  <si>
    <t>Neil Gaiman</t>
  </si>
  <si>
    <t>CHOAM</t>
  </si>
  <si>
    <t>Sirius Cybernetics Corp.</t>
  </si>
  <si>
    <t>Very Big Corp. of America</t>
  </si>
  <si>
    <t>Tyrell Corp.</t>
  </si>
  <si>
    <t>Nakatomi Trading Corp.</t>
  </si>
  <si>
    <t>65.395.361/0001-20</t>
  </si>
  <si>
    <t>46.496.569/0001-90</t>
  </si>
  <si>
    <t>87.624.454/0001-11</t>
  </si>
  <si>
    <t>67.792.284/0001-77</t>
  </si>
  <si>
    <t>95.332.727/0001-82</t>
  </si>
  <si>
    <t>65043-763</t>
  </si>
  <si>
    <t>53429-700</t>
  </si>
  <si>
    <t>78730-690</t>
  </si>
  <si>
    <t>58707-425</t>
  </si>
  <si>
    <t>64039-595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</si>
</sst>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3" fontId="0" fillId="0" borderId="0" xfId="0" applyNumberFormat="1"/>
    <xf numFmtId="0" fontId="0" fillId="0" borderId="0" xfId="0" applyNumberFormat="1"/>
    <xf numFmtId="0" fontId="1" fillId="2" borderId="0" xfId="0" applyNumberFormat="1" applyFont="1" applyFill="1" applyBorder="1"/>
    <xf numFmtId="0" fontId="1" fillId="2" borderId="4" xfId="0" applyNumberFormat="1" applyFont="1" applyFill="1" applyBorder="1"/>
    <xf numFmtId="0" fontId="1" fillId="2" borderId="5" xfId="0" applyNumberFormat="1" applyFont="1" applyFill="1" applyBorder="1"/>
    <xf numFmtId="14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7" xfId="0" applyNumberFormat="1" applyFont="1" applyFill="1" applyBorder="1"/>
    <xf numFmtId="0" fontId="1" fillId="2" borderId="8" xfId="0" applyNumberFormat="1" applyFont="1" applyFill="1" applyBorder="1"/>
    <xf numFmtId="0" fontId="2" fillId="3" borderId="3" xfId="0" applyNumberFormat="1" applyFont="1" applyFill="1" applyBorder="1"/>
    <xf numFmtId="0" fontId="2" fillId="3" borderId="2" xfId="0" applyNumberFormat="1" applyFont="1" applyFill="1" applyBorder="1"/>
    <xf numFmtId="0" fontId="0" fillId="3" borderId="6" xfId="0" applyNumberFormat="1" applyFont="1" applyFill="1" applyBorder="1"/>
    <xf numFmtId="0" fontId="0" fillId="3" borderId="3" xfId="0" applyNumberFormat="1" applyFont="1" applyFill="1" applyBorder="1"/>
    <xf numFmtId="0" fontId="0" fillId="3" borderId="2" xfId="0" applyNumberFormat="1" applyFont="1" applyFill="1" applyBorder="1"/>
    <xf numFmtId="0" fontId="0" fillId="3" borderId="1" xfId="0" applyNumberFormat="1" applyFont="1" applyFill="1" applyBorder="1"/>
    <xf numFmtId="0" fontId="2" fillId="3" borderId="1" xfId="0" applyNumberFormat="1" applyFont="1" applyFill="1" applyBorder="1"/>
    <xf numFmtId="0" fontId="0" fillId="0" borderId="3" xfId="0" applyNumberFormat="1" applyBorder="1" applyAlignment="1">
      <alignment horizontal="center"/>
    </xf>
    <xf numFmtId="0" fontId="0" fillId="0" borderId="0" xfId="0" applyAlignment="1"/>
    <xf numFmtId="0" fontId="1" fillId="2" borderId="4" xfId="0" applyNumberFormat="1" applyFont="1" applyFill="1" applyBorder="1" applyAlignment="1"/>
    <xf numFmtId="3" fontId="0" fillId="0" borderId="3" xfId="0" applyNumberFormat="1" applyBorder="1" applyAlignment="1">
      <alignment horizontal="center"/>
    </xf>
    <xf numFmtId="0" fontId="0" fillId="0" borderId="3" xfId="0" applyNumberFormat="1" applyBorder="1" applyAlignment="1"/>
    <xf numFmtId="0" fontId="2" fillId="3" borderId="3" xfId="0" applyNumberFormat="1" applyFont="1" applyFill="1" applyBorder="1" applyAlignment="1">
      <alignment horizontal="center"/>
    </xf>
    <xf numFmtId="49" fontId="2" fillId="3" borderId="1" xfId="0" applyNumberFormat="1" applyFont="1" applyFill="1" applyBorder="1"/>
    <xf numFmtId="49" fontId="2" fillId="3" borderId="3" xfId="0" applyNumberFormat="1" applyFont="1" applyFill="1" applyBorder="1"/>
    <xf numFmtId="49" fontId="0" fillId="0" borderId="0" xfId="0" applyNumberFormat="1"/>
    <xf numFmtId="0" fontId="0" fillId="0" borderId="1" xfId="0" applyNumberFormat="1" applyBorder="1" applyAlignment="1">
      <alignment horizontal="center"/>
    </xf>
    <xf numFmtId="0" fontId="0" fillId="0" borderId="1" xfId="0" applyNumberFormat="1" applyBorder="1" applyAlignment="1"/>
    <xf numFmtId="0" fontId="0" fillId="0" borderId="1" xfId="0" applyBorder="1" applyAlignment="1">
      <alignment horizontal="center"/>
    </xf>
    <xf numFmtId="3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2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0" xfId="0" applyNumberFormat="1" applyFont="1" applyFill="1"/>
    <xf numFmtId="49" fontId="1" fillId="2" borderId="8" xfId="0" applyNumberFormat="1" applyFont="1" applyFill="1" applyBorder="1"/>
    <xf numFmtId="49" fontId="0" fillId="3" borderId="3" xfId="0" applyNumberFormat="1" applyFont="1" applyFill="1" applyBorder="1"/>
    <xf numFmtId="3" fontId="0" fillId="3" borderId="3" xfId="0" applyNumberFormat="1" applyFont="1" applyFill="1" applyBorder="1"/>
    <xf numFmtId="0" fontId="0" fillId="0" borderId="1" xfId="0" applyBorder="1"/>
  </cellXfs>
  <cellStyles count="1">
    <cellStyle name="Normal" xfId="0" builtinId="0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D9D9D9"/>
          <bgColor rgb="FFD9D9D9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Tabela2" displayName="Tabela2" ref="A1:S6" totalsRowShown="0" headerRowDxfId="64" dataDxfId="63" tableBorderDxfId="62">
  <autoFilter ref="A1:S6"/>
  <tableColumns count="19">
    <tableColumn id="1" name="xIDPFx" dataDxfId="61">
      <calculatedColumnFormula>ROW(A1 )</calculatedColumnFormula>
    </tableColumn>
    <tableColumn id="3" name="xNOMEx" dataDxfId="60"/>
    <tableColumn id="4" name="xCPFx" dataDxfId="59"/>
    <tableColumn id="5" name="xRGx" dataDxfId="58"/>
    <tableColumn id="6" name="xEXPEDIDOR_RGx" dataDxfId="57"/>
    <tableColumn id="7" name="xESTADO_CIVILx" dataDxfId="56"/>
    <tableColumn id="8" name="xPROFISSAOx" dataDxfId="55"/>
    <tableColumn id="9" name="xNACIONALIDADEx" dataDxfId="54"/>
    <tableColumn id="10" name="xCEPx" dataDxfId="53"/>
    <tableColumn id="11" name="xLOGRADOUROx" dataDxfId="52">
      <calculatedColumnFormula>_xlfn.FILTERXML(Servicos!B2,"//logradouro")</calculatedColumnFormula>
    </tableColumn>
    <tableColumn id="12" name="xNUMEROx" dataDxfId="51"/>
    <tableColumn id="13" name="xCOMPLEMENTOx" dataDxfId="50"/>
    <tableColumn id="14" name="xBAIRROx" dataDxfId="49">
      <calculatedColumnFormula>_xlfn.FILTERXML(Servicos!B2,"//bairro")</calculatedColumnFormula>
    </tableColumn>
    <tableColumn id="15" name="xCIDADEx" dataDxfId="48">
      <calculatedColumnFormula>_xlfn.FILTERXML(Servicos!B2,"//localidade")</calculatedColumnFormula>
    </tableColumn>
    <tableColumn id="16" name="xUFx" dataDxfId="47">
      <calculatedColumnFormula>_xlfn.FILTERXML(Servicos!B2,"//uf")</calculatedColumnFormula>
    </tableColumn>
    <tableColumn id="17" name="xEMAILx" dataDxfId="46"/>
    <tableColumn id="18" name="xESCRITORIOx" dataDxfId="45"/>
    <tableColumn id="19" name="xCADASTROx" dataDxfId="44"/>
    <tableColumn id="20" name="xCELx" dataDxfId="4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A1:O6" totalsRowShown="0" headerRowDxfId="42" dataDxfId="41" tableBorderDxfId="40">
  <autoFilter ref="A1:O6"/>
  <tableColumns count="15">
    <tableColumn id="1" name="xIDPJx" dataDxfId="39">
      <calculatedColumnFormula>ROW(A1 )</calculatedColumnFormula>
    </tableColumn>
    <tableColumn id="2" name="xNOMEx" dataDxfId="38"/>
    <tableColumn id="3" name="xCNPJx" dataDxfId="37"/>
    <tableColumn id="4" name="xADMINISTRADORx" dataDxfId="36"/>
    <tableColumn id="9" name="xCEPx" dataDxfId="35"/>
    <tableColumn id="10" name="xLOGRADOUROx" dataDxfId="34">
      <calculatedColumnFormula>_xlfn.FILTERXML(Servicos!A2,"//logradouro")</calculatedColumnFormula>
    </tableColumn>
    <tableColumn id="11" name="xNUMEROx" dataDxfId="33"/>
    <tableColumn id="12" name="xCOMPLEMENTOx" dataDxfId="32"/>
    <tableColumn id="13" name="xBAIRROx" dataDxfId="31">
      <calculatedColumnFormula>_xlfn.FILTERXML(Servicos!A2,"//bairro")</calculatedColumnFormula>
    </tableColumn>
    <tableColumn id="14" name="xCIDADEx" dataDxfId="30">
      <calculatedColumnFormula>_xlfn.FILTERXML(Servicos!A2,"//localidade")</calculatedColumnFormula>
    </tableColumn>
    <tableColumn id="15" name="xUFx" dataDxfId="29">
      <calculatedColumnFormula>_xlfn.FILTERXML(Servicos!A2,"//uf")</calculatedColumnFormula>
    </tableColumn>
    <tableColumn id="17" name="xEMAILx" dataDxfId="28"/>
    <tableColumn id="18" name="xESCRITORIOx" dataDxfId="27"/>
    <tableColumn id="16" name="xCADASTROx" dataDxfId="26"/>
    <tableColumn id="5" name="xCELx" dataDxfId="2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L8" totalsRowShown="0" headerRowDxfId="24" dataDxfId="22" headerRowBorderDxfId="23" tableBorderDxfId="21" totalsRowBorderDxfId="20">
  <autoFilter ref="A1:L8"/>
  <tableColumns count="12">
    <tableColumn id="1" name="xIDPROCESSOSx" dataDxfId="19">
      <calculatedColumnFormula>ROW(A1)</calculatedColumnFormula>
    </tableColumn>
    <tableColumn id="2" name="xNUMERO_PROCESSOx" dataDxfId="18"/>
    <tableColumn id="3" name="xVARAx" dataDxfId="17"/>
    <tableColumn id="4" name="xCOMARCAx" dataDxfId="16"/>
    <tableColumn id="5" name="xESTADOx" dataDxfId="15"/>
    <tableColumn id="7" name="xCLIENTEx" dataDxfId="14"/>
    <tableColumn id="9" name="xADVERSOx" dataDxfId="13"/>
    <tableColumn id="8" name="xESCRITORIOx" dataDxfId="12"/>
    <tableColumn id="10" name="xVALOR_DA_CAUSAx" dataDxfId="11"/>
    <tableColumn id="11" name="xACAOx" dataDxfId="10"/>
    <tableColumn id="6" name="xAREAx" dataDxfId="9"/>
    <tableColumn id="13" name="xLISTA_PETICOESx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35" displayName="Tabela35" ref="A1:C3" totalsRowShown="0" headerRowDxfId="7" dataDxfId="5" headerRowBorderDxfId="6" tableBorderDxfId="4" totalsRowBorderDxfId="3">
  <autoFilter ref="A1:C3"/>
  <tableColumns count="3">
    <tableColumn id="1" name="xIDPETICOESx" dataDxfId="2">
      <calculatedColumnFormula>ROW(A1)</calculatedColumnFormula>
    </tableColumn>
    <tableColumn id="10" name="xPECAx" dataDxfId="1"/>
    <tableColumn id="11" name="xATRIBUTOSx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a:spPr>
      <a:bodyPr vertOverflow="clip" horzOverflow="clip" rtlCol="0" anchor="ctr"/>
      <a:lstStyle>
        <a:defPPr algn="ctr">
          <a:defRPr sz="12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eticao"/>
  <dimension ref="A1:AD6"/>
  <sheetViews>
    <sheetView zoomScale="85" zoomScaleNormal="85" workbookViewId="0">
      <selection activeCell="B5" sqref="B5"/>
    </sheetView>
  </sheetViews>
  <sheetFormatPr defaultRowHeight="14.4" x14ac:dyDescent="0.3"/>
  <cols>
    <col min="1" max="1" width="4.88671875" customWidth="1"/>
    <col min="2" max="2" width="18.5546875" bestFit="1" customWidth="1"/>
    <col min="3" max="3" width="10.21875" customWidth="1"/>
    <col min="4" max="4" width="11.44140625" bestFit="1" customWidth="1"/>
    <col min="5" max="5" width="6.33203125" customWidth="1"/>
    <col min="6" max="6" width="9" customWidth="1"/>
    <col min="7" max="7" width="15.33203125" customWidth="1"/>
    <col min="8" max="8" width="9.88671875" customWidth="1"/>
    <col min="10" max="10" width="18.5546875" customWidth="1"/>
    <col min="11" max="11" width="7.77734375" customWidth="1"/>
    <col min="12" max="12" width="14.44140625" customWidth="1"/>
    <col min="13" max="14" width="12" customWidth="1"/>
    <col min="15" max="15" width="5.109375" customWidth="1"/>
    <col min="16" max="16" width="10.6640625" customWidth="1"/>
    <col min="17" max="17" width="12.109375" customWidth="1"/>
    <col min="18" max="18" width="12.88671875" customWidth="1"/>
  </cols>
  <sheetData>
    <row r="1" spans="1:30" ht="15.6" x14ac:dyDescent="0.3">
      <c r="A1" s="3" t="s">
        <v>51</v>
      </c>
      <c r="B1" s="20" t="s">
        <v>19</v>
      </c>
      <c r="C1" s="4" t="s">
        <v>43</v>
      </c>
      <c r="D1" s="4" t="s">
        <v>44</v>
      </c>
      <c r="E1" s="4" t="s">
        <v>45</v>
      </c>
      <c r="F1" s="4" t="s">
        <v>20</v>
      </c>
      <c r="G1" s="4" t="s">
        <v>21</v>
      </c>
      <c r="H1" s="4" t="s">
        <v>22</v>
      </c>
      <c r="I1" s="4" t="s">
        <v>23</v>
      </c>
      <c r="J1" s="4" t="s">
        <v>46</v>
      </c>
      <c r="K1" s="4" t="s">
        <v>32</v>
      </c>
      <c r="L1" s="4" t="s">
        <v>24</v>
      </c>
      <c r="M1" s="4" t="s">
        <v>25</v>
      </c>
      <c r="N1" s="4" t="s">
        <v>26</v>
      </c>
      <c r="O1" s="4" t="s">
        <v>27</v>
      </c>
      <c r="P1" s="4" t="s">
        <v>28</v>
      </c>
      <c r="Q1" s="4" t="s">
        <v>29</v>
      </c>
      <c r="R1" s="5" t="s">
        <v>30</v>
      </c>
      <c r="S1" s="5" t="s">
        <v>47</v>
      </c>
    </row>
    <row r="2" spans="1:30" x14ac:dyDescent="0.3">
      <c r="A2" s="27">
        <f>ROW(A1 )</f>
        <v>1</v>
      </c>
      <c r="B2" s="28" t="s">
        <v>93</v>
      </c>
      <c r="C2" s="29" t="s">
        <v>73</v>
      </c>
      <c r="D2" s="30" t="s">
        <v>78</v>
      </c>
      <c r="E2" s="29" t="s">
        <v>3</v>
      </c>
      <c r="F2" s="29" t="s">
        <v>12</v>
      </c>
      <c r="G2" s="29" t="s">
        <v>14</v>
      </c>
      <c r="H2" s="29" t="s">
        <v>9</v>
      </c>
      <c r="I2" s="31" t="s">
        <v>83</v>
      </c>
      <c r="J2" s="7" t="str">
        <f>_xlfn.FILTERXML(Servicos!B2,"//logradouro")</f>
        <v>Rua Manoel David de Arruda</v>
      </c>
      <c r="K2" s="29">
        <v>111</v>
      </c>
      <c r="L2" s="29" t="s">
        <v>88</v>
      </c>
      <c r="M2" s="7" t="str">
        <f>_xlfn.FILTERXML(Servicos!B2,"//bairro")</f>
        <v>Santo Antônio</v>
      </c>
      <c r="N2" s="7" t="str">
        <f>_xlfn.FILTERXML(Servicos!B2,"//localidade")</f>
        <v>Campina Grande</v>
      </c>
      <c r="O2" s="7" t="str">
        <f>_xlfn.FILTERXML(Servicos!B2,"//uf")</f>
        <v>PB</v>
      </c>
      <c r="P2" s="29" t="s">
        <v>50</v>
      </c>
      <c r="Q2" s="29" t="s">
        <v>91</v>
      </c>
      <c r="R2" s="29" t="s">
        <v>4</v>
      </c>
      <c r="S2" s="29" t="s">
        <v>31</v>
      </c>
      <c r="AD2" s="1"/>
    </row>
    <row r="3" spans="1:30" x14ac:dyDescent="0.3">
      <c r="A3" s="27">
        <f>ROW(A2 )</f>
        <v>2</v>
      </c>
      <c r="B3" s="22" t="s">
        <v>94</v>
      </c>
      <c r="C3" s="7" t="s">
        <v>74</v>
      </c>
      <c r="D3" s="21" t="s">
        <v>79</v>
      </c>
      <c r="E3" s="7" t="s">
        <v>3</v>
      </c>
      <c r="F3" s="7" t="s">
        <v>33</v>
      </c>
      <c r="G3" s="7" t="s">
        <v>18</v>
      </c>
      <c r="H3" s="7" t="s">
        <v>9</v>
      </c>
      <c r="I3" s="6" t="s">
        <v>84</v>
      </c>
      <c r="J3" s="7" t="str">
        <f>_xlfn.FILTERXML(Servicos!B3,"//logradouro")</f>
        <v>Rua Ferreira Leite</v>
      </c>
      <c r="K3" s="7">
        <v>222</v>
      </c>
      <c r="L3" s="7" t="s">
        <v>42</v>
      </c>
      <c r="M3" s="7" t="str">
        <f>_xlfn.FILTERXML(Servicos!B3,"//bairro")</f>
        <v>Abolição</v>
      </c>
      <c r="N3" s="7" t="str">
        <f>_xlfn.FILTERXML(Servicos!B3,"//localidade")</f>
        <v>Rio de Janeiro</v>
      </c>
      <c r="O3" s="7" t="str">
        <f>_xlfn.FILTERXML(Servicos!B3,"//uf")</f>
        <v>RJ</v>
      </c>
      <c r="P3" s="29" t="s">
        <v>31</v>
      </c>
      <c r="Q3" s="7" t="s">
        <v>92</v>
      </c>
      <c r="R3" s="7" t="s">
        <v>4</v>
      </c>
      <c r="S3" s="32">
        <v>456789</v>
      </c>
      <c r="AD3" s="1"/>
    </row>
    <row r="4" spans="1:30" x14ac:dyDescent="0.3">
      <c r="A4" s="27">
        <f t="shared" ref="A4:A6" si="0">ROW(A3 )</f>
        <v>3</v>
      </c>
      <c r="B4" s="28" t="s">
        <v>99</v>
      </c>
      <c r="C4" s="29" t="s">
        <v>75</v>
      </c>
      <c r="D4" s="30" t="s">
        <v>80</v>
      </c>
      <c r="E4" s="29" t="s">
        <v>3</v>
      </c>
      <c r="F4" s="29" t="s">
        <v>10</v>
      </c>
      <c r="G4" s="29" t="s">
        <v>13</v>
      </c>
      <c r="H4" s="29" t="s">
        <v>9</v>
      </c>
      <c r="I4" s="31" t="s">
        <v>85</v>
      </c>
      <c r="J4" s="27" t="str">
        <f>_xlfn.FILTERXML(Servicos!B4,"//logradouro")</f>
        <v>Rua 65</v>
      </c>
      <c r="K4" s="7">
        <v>333</v>
      </c>
      <c r="L4" s="7" t="s">
        <v>89</v>
      </c>
      <c r="M4" s="27" t="str">
        <f>_xlfn.FILTERXML(Servicos!B4,"//bairro")</f>
        <v>Independência - 3º Complemento</v>
      </c>
      <c r="N4" s="27" t="str">
        <f>_xlfn.FILTERXML(Servicos!B4,"//localidade")</f>
        <v>Aparecida de Goiânia</v>
      </c>
      <c r="O4" s="27" t="str">
        <f>_xlfn.FILTERXML(Servicos!B4,"//uf")</f>
        <v>GO</v>
      </c>
      <c r="P4" s="29" t="s">
        <v>31</v>
      </c>
      <c r="Q4" s="29" t="s">
        <v>91</v>
      </c>
      <c r="R4" s="8" t="s">
        <v>4</v>
      </c>
      <c r="S4" s="29" t="s">
        <v>31</v>
      </c>
    </row>
    <row r="5" spans="1:30" x14ac:dyDescent="0.3">
      <c r="A5" s="27">
        <f t="shared" si="0"/>
        <v>4</v>
      </c>
      <c r="B5" s="28" t="s">
        <v>98</v>
      </c>
      <c r="C5" s="29" t="s">
        <v>76</v>
      </c>
      <c r="D5" s="30" t="s">
        <v>81</v>
      </c>
      <c r="E5" s="29" t="s">
        <v>3</v>
      </c>
      <c r="F5" s="29" t="s">
        <v>11</v>
      </c>
      <c r="G5" s="29" t="s">
        <v>16</v>
      </c>
      <c r="H5" s="29" t="s">
        <v>9</v>
      </c>
      <c r="I5" s="31" t="s">
        <v>86</v>
      </c>
      <c r="J5" s="27" t="str">
        <f>_xlfn.FILTERXML(Servicos!B5,"//logradouro")</f>
        <v>Rua Irio Zanini</v>
      </c>
      <c r="K5" s="7">
        <v>444</v>
      </c>
      <c r="L5" s="7"/>
      <c r="M5" s="27" t="str">
        <f>_xlfn.FILTERXML(Servicos!B5,"//bairro")</f>
        <v>Pirabeiraba (Pirabeiraba)</v>
      </c>
      <c r="N5" s="27" t="str">
        <f>_xlfn.FILTERXML(Servicos!B5,"//localidade")</f>
        <v>Joinville</v>
      </c>
      <c r="O5" s="27" t="str">
        <f>_xlfn.FILTERXML(Servicos!B5,"//uf")</f>
        <v>SC</v>
      </c>
      <c r="P5" s="29" t="s">
        <v>90</v>
      </c>
      <c r="Q5" s="29" t="s">
        <v>91</v>
      </c>
      <c r="R5" s="8" t="s">
        <v>4</v>
      </c>
      <c r="S5" s="29" t="s">
        <v>31</v>
      </c>
    </row>
    <row r="6" spans="1:30" x14ac:dyDescent="0.3">
      <c r="A6" s="27">
        <f t="shared" si="0"/>
        <v>5</v>
      </c>
      <c r="B6" s="28" t="s">
        <v>97</v>
      </c>
      <c r="C6" s="29" t="s">
        <v>77</v>
      </c>
      <c r="D6" s="30" t="s">
        <v>82</v>
      </c>
      <c r="E6" s="29" t="s">
        <v>3</v>
      </c>
      <c r="F6" s="29" t="s">
        <v>12</v>
      </c>
      <c r="G6" s="29" t="s">
        <v>15</v>
      </c>
      <c r="H6" s="29" t="s">
        <v>9</v>
      </c>
      <c r="I6" s="31" t="s">
        <v>87</v>
      </c>
      <c r="J6" s="27" t="str">
        <f>_xlfn.FILTERXML(Servicos!B6,"//logradouro")</f>
        <v>Rua Triunvirato</v>
      </c>
      <c r="K6" s="7">
        <v>555</v>
      </c>
      <c r="L6" s="7"/>
      <c r="M6" s="27" t="str">
        <f>_xlfn.FILTERXML(Servicos!B6,"//bairro")</f>
        <v>Cidade Velha</v>
      </c>
      <c r="N6" s="27" t="str">
        <f>_xlfn.FILTERXML(Servicos!B6,"//localidade")</f>
        <v>Belém</v>
      </c>
      <c r="O6" s="27" t="str">
        <f>_xlfn.FILTERXML(Servicos!B6,"//uf")</f>
        <v>PA</v>
      </c>
      <c r="P6" s="29" t="s">
        <v>31</v>
      </c>
      <c r="Q6" s="7" t="s">
        <v>92</v>
      </c>
      <c r="R6" s="8" t="s">
        <v>4</v>
      </c>
      <c r="S6" s="29" t="s">
        <v>31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F"/>
  <dimension ref="A1:Y6"/>
  <sheetViews>
    <sheetView showGridLines="0" zoomScale="85" zoomScaleNormal="85" workbookViewId="0">
      <selection activeCell="B6" sqref="B6"/>
    </sheetView>
  </sheetViews>
  <sheetFormatPr defaultRowHeight="14.4" x14ac:dyDescent="0.3"/>
  <cols>
    <col min="1" max="1" width="6.44140625" customWidth="1"/>
    <col min="2" max="2" width="34.44140625" style="19" bestFit="1" customWidth="1"/>
    <col min="3" max="3" width="18.33203125" bestFit="1" customWidth="1"/>
    <col min="4" max="4" width="28" style="35" bestFit="1" customWidth="1"/>
    <col min="5" max="5" width="10.44140625" bestFit="1" customWidth="1"/>
    <col min="6" max="6" width="21" bestFit="1" customWidth="1"/>
    <col min="7" max="7" width="13.44140625" bestFit="1" customWidth="1"/>
    <col min="8" max="8" width="14.77734375" customWidth="1"/>
    <col min="9" max="9" width="15.77734375" bestFit="1" customWidth="1"/>
    <col min="10" max="10" width="22.44140625" bestFit="1" customWidth="1"/>
    <col min="11" max="11" width="8.21875" bestFit="1" customWidth="1"/>
    <col min="12" max="12" width="17.77734375" customWidth="1"/>
    <col min="13" max="13" width="10.77734375" customWidth="1"/>
    <col min="14" max="14" width="12.88671875" customWidth="1"/>
    <col min="15" max="15" width="6.21875" bestFit="1" customWidth="1"/>
    <col min="16" max="16" width="11.5546875" bestFit="1" customWidth="1"/>
    <col min="17" max="17" width="17.21875" bestFit="1" customWidth="1"/>
    <col min="18" max="18" width="14.5546875" bestFit="1" customWidth="1"/>
    <col min="19" max="19" width="13.77734375" bestFit="1" customWidth="1"/>
    <col min="20" max="20" width="11.21875" bestFit="1" customWidth="1"/>
    <col min="21" max="21" width="17" bestFit="1" customWidth="1"/>
    <col min="22" max="22" width="18.44140625" bestFit="1" customWidth="1"/>
    <col min="23" max="23" width="18.77734375" bestFit="1" customWidth="1"/>
    <col min="24" max="24" width="13.44140625" bestFit="1" customWidth="1"/>
    <col min="25" max="25" width="20.77734375" style="1" bestFit="1" customWidth="1"/>
    <col min="26" max="32" width="20.77734375" customWidth="1"/>
    <col min="33" max="34" width="15.21875" bestFit="1" customWidth="1"/>
  </cols>
  <sheetData>
    <row r="1" spans="1:25" ht="15.6" x14ac:dyDescent="0.3">
      <c r="A1" s="3" t="s">
        <v>52</v>
      </c>
      <c r="B1" s="20" t="s">
        <v>19</v>
      </c>
      <c r="C1" s="4" t="s">
        <v>49</v>
      </c>
      <c r="D1" s="34" t="s">
        <v>48</v>
      </c>
      <c r="E1" s="4" t="s">
        <v>23</v>
      </c>
      <c r="F1" s="4" t="s">
        <v>46</v>
      </c>
      <c r="G1" s="4" t="s">
        <v>32</v>
      </c>
      <c r="H1" s="4" t="s">
        <v>24</v>
      </c>
      <c r="I1" s="4" t="s">
        <v>25</v>
      </c>
      <c r="J1" s="4" t="s">
        <v>26</v>
      </c>
      <c r="K1" s="4" t="s">
        <v>27</v>
      </c>
      <c r="L1" s="4" t="s">
        <v>28</v>
      </c>
      <c r="M1" s="4" t="s">
        <v>29</v>
      </c>
      <c r="N1" s="5" t="s">
        <v>30</v>
      </c>
      <c r="O1" s="36" t="s">
        <v>47</v>
      </c>
      <c r="Y1"/>
    </row>
    <row r="2" spans="1:25" x14ac:dyDescent="0.3">
      <c r="A2" s="27">
        <f>ROW(A1 )</f>
        <v>1</v>
      </c>
      <c r="B2" s="22" t="s">
        <v>103</v>
      </c>
      <c r="C2" s="7" t="s">
        <v>108</v>
      </c>
      <c r="D2" s="33" t="s">
        <v>102</v>
      </c>
      <c r="E2" s="6" t="s">
        <v>113</v>
      </c>
      <c r="F2" s="18" t="str">
        <f>_xlfn.FILTERXML(Servicos!A21,"//logradouro")</f>
        <v>Avenida dos Africanos</v>
      </c>
      <c r="G2" s="7">
        <v>170</v>
      </c>
      <c r="H2" s="7"/>
      <c r="I2" s="18" t="str">
        <f>_xlfn.FILTERXML(Servicos!A21,"//bairro")</f>
        <v>COHEB do Sacavém</v>
      </c>
      <c r="J2" s="18" t="str">
        <f>_xlfn.FILTERXML(Servicos!A21,"//localidade")</f>
        <v>São Luís</v>
      </c>
      <c r="K2" s="18" t="str">
        <f>_xlfn.FILTERXML(Servicos!A21,"//uf")</f>
        <v>MA</v>
      </c>
      <c r="L2" s="8" t="s">
        <v>31</v>
      </c>
      <c r="M2" s="8" t="s">
        <v>92</v>
      </c>
      <c r="N2" s="8" t="s">
        <v>4</v>
      </c>
      <c r="O2" s="8" t="s">
        <v>31</v>
      </c>
    </row>
    <row r="3" spans="1:25" x14ac:dyDescent="0.3">
      <c r="A3" s="27">
        <f t="shared" ref="A3:A6" si="0">ROW(A2 )</f>
        <v>2</v>
      </c>
      <c r="B3" s="22" t="s">
        <v>104</v>
      </c>
      <c r="C3" s="7" t="s">
        <v>109</v>
      </c>
      <c r="D3" s="33" t="s">
        <v>96</v>
      </c>
      <c r="E3" s="6" t="s">
        <v>114</v>
      </c>
      <c r="F3" s="18" t="str">
        <f>_xlfn.FILTERXML(Servicos!A23,"//logradouro")</f>
        <v>Rua Delfinópolis</v>
      </c>
      <c r="G3" s="7">
        <v>380</v>
      </c>
      <c r="H3" s="7"/>
      <c r="I3" s="18" t="str">
        <f>_xlfn.FILTERXML(Servicos!A23,"//bairro")</f>
        <v>Nossa Senhora da Conceição</v>
      </c>
      <c r="J3" s="18" t="str">
        <f>_xlfn.FILTERXML(Servicos!A23,"//localidade")</f>
        <v>Paulista</v>
      </c>
      <c r="K3" s="18" t="str">
        <f>_xlfn.FILTERXML(Servicos!A23,"//uf")</f>
        <v>PE</v>
      </c>
      <c r="L3" s="8" t="s">
        <v>31</v>
      </c>
      <c r="M3" s="8" t="s">
        <v>92</v>
      </c>
      <c r="N3" s="8" t="s">
        <v>4</v>
      </c>
      <c r="O3" s="8" t="s">
        <v>31</v>
      </c>
    </row>
    <row r="4" spans="1:25" x14ac:dyDescent="0.3">
      <c r="A4" s="27">
        <f t="shared" si="0"/>
        <v>3</v>
      </c>
      <c r="B4" s="14" t="s">
        <v>105</v>
      </c>
      <c r="C4" s="14" t="s">
        <v>110</v>
      </c>
      <c r="D4" s="33" t="s">
        <v>95</v>
      </c>
      <c r="E4" s="11" t="s">
        <v>115</v>
      </c>
      <c r="F4" s="18" t="str">
        <f>_xlfn.FILTERXML(Servicos!A24,"//logradouro")</f>
        <v>Rua Maria Camargo de Melo</v>
      </c>
      <c r="G4" s="23">
        <v>7346</v>
      </c>
      <c r="H4" s="7"/>
      <c r="I4" s="18" t="str">
        <f>_xlfn.FILTERXML(Servicos!A24,"//bairro")</f>
        <v>Loteamento Nossa Senhora do Amparo</v>
      </c>
      <c r="J4" s="18" t="str">
        <f>_xlfn.FILTERXML(Servicos!A24,"//localidade")</f>
        <v>Rondonópolis</v>
      </c>
      <c r="K4" s="18" t="str">
        <f>_xlfn.FILTERXML(Servicos!A24,"//uf")</f>
        <v>MT</v>
      </c>
      <c r="L4" s="8" t="s">
        <v>31</v>
      </c>
      <c r="M4" s="8" t="s">
        <v>91</v>
      </c>
      <c r="N4" s="8" t="s">
        <v>4</v>
      </c>
      <c r="O4" s="8" t="s">
        <v>31</v>
      </c>
    </row>
    <row r="5" spans="1:25" x14ac:dyDescent="0.3">
      <c r="A5" s="27">
        <f t="shared" si="0"/>
        <v>4</v>
      </c>
      <c r="B5" s="40" t="s">
        <v>106</v>
      </c>
      <c r="C5" s="7" t="s">
        <v>111</v>
      </c>
      <c r="D5" s="33" t="s">
        <v>100</v>
      </c>
      <c r="E5" s="6" t="s">
        <v>116</v>
      </c>
      <c r="F5" s="18" t="str">
        <f>_xlfn.FILTERXML(Servicos!A27,"//logradouro")</f>
        <v>Travessa Manoel Reinaldo</v>
      </c>
      <c r="G5" s="7">
        <v>456</v>
      </c>
      <c r="H5" s="7" t="s">
        <v>40</v>
      </c>
      <c r="I5" s="18" t="str">
        <f>_xlfn.FILTERXML(Servicos!A27,"//bairro")</f>
        <v>Jatobá</v>
      </c>
      <c r="J5" s="18" t="str">
        <f>_xlfn.FILTERXML(Servicos!A27,"//localidade")</f>
        <v>Patos</v>
      </c>
      <c r="K5" s="18" t="str">
        <f>_xlfn.FILTERXML(Servicos!A27,"//uf")</f>
        <v>PB</v>
      </c>
      <c r="L5" s="8" t="s">
        <v>31</v>
      </c>
      <c r="M5" s="8" t="s">
        <v>91</v>
      </c>
      <c r="N5" s="8" t="s">
        <v>4</v>
      </c>
      <c r="O5" s="8" t="s">
        <v>31</v>
      </c>
    </row>
    <row r="6" spans="1:25" x14ac:dyDescent="0.3">
      <c r="A6" s="27">
        <f t="shared" si="0"/>
        <v>5</v>
      </c>
      <c r="B6" s="22" t="s">
        <v>107</v>
      </c>
      <c r="C6" s="7" t="s">
        <v>112</v>
      </c>
      <c r="D6" s="33" t="s">
        <v>101</v>
      </c>
      <c r="E6" s="6" t="s">
        <v>117</v>
      </c>
      <c r="F6" s="18" t="str">
        <f>_xlfn.FILTERXML(Servicos!A28,"//logradouro")</f>
        <v>Rua da Paz</v>
      </c>
      <c r="G6" s="7">
        <v>349</v>
      </c>
      <c r="H6" s="7" t="s">
        <v>41</v>
      </c>
      <c r="I6" s="18" t="str">
        <f>_xlfn.FILTERXML(Servicos!A28,"//bairro")</f>
        <v>Esplanada</v>
      </c>
      <c r="J6" s="18" t="str">
        <f>_xlfn.FILTERXML(Servicos!A28,"//localidade")</f>
        <v>Teresina</v>
      </c>
      <c r="K6" s="18" t="str">
        <f>_xlfn.FILTERXML(Servicos!A28,"//uf")</f>
        <v>PI</v>
      </c>
      <c r="L6" s="8" t="s">
        <v>31</v>
      </c>
      <c r="M6" s="8" t="s">
        <v>91</v>
      </c>
      <c r="N6" s="8" t="s">
        <v>4</v>
      </c>
      <c r="O6" s="8" t="s">
        <v>31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os"/>
  <dimension ref="A1:L8"/>
  <sheetViews>
    <sheetView zoomScale="85" zoomScaleNormal="85" workbookViewId="0">
      <selection activeCell="C38" sqref="C38"/>
    </sheetView>
  </sheetViews>
  <sheetFormatPr defaultRowHeight="14.4" x14ac:dyDescent="0.3"/>
  <cols>
    <col min="1" max="1" width="4.44140625" customWidth="1"/>
    <col min="2" max="2" width="27.77734375" customWidth="1"/>
    <col min="3" max="3" width="14.21875" customWidth="1"/>
    <col min="4" max="4" width="22.77734375" bestFit="1" customWidth="1"/>
    <col min="5" max="5" width="14" customWidth="1"/>
    <col min="6" max="6" width="62.21875" bestFit="1" customWidth="1"/>
    <col min="7" max="7" width="32" customWidth="1"/>
    <col min="8" max="8" width="24.77734375" customWidth="1"/>
    <col min="9" max="9" width="21.44140625" style="26" bestFit="1" customWidth="1"/>
    <col min="12" max="12" width="23.5546875" bestFit="1" customWidth="1"/>
  </cols>
  <sheetData>
    <row r="1" spans="1:12" ht="15.6" x14ac:dyDescent="0.3">
      <c r="A1" s="9" t="s">
        <v>53</v>
      </c>
      <c r="B1" s="10" t="s">
        <v>34</v>
      </c>
      <c r="C1" s="10" t="s">
        <v>35</v>
      </c>
      <c r="D1" s="10" t="s">
        <v>36</v>
      </c>
      <c r="E1" s="10" t="s">
        <v>37</v>
      </c>
      <c r="F1" s="10" t="s">
        <v>38</v>
      </c>
      <c r="G1" s="5" t="s">
        <v>39</v>
      </c>
      <c r="H1" s="5" t="s">
        <v>29</v>
      </c>
      <c r="I1" s="37" t="s">
        <v>56</v>
      </c>
      <c r="J1" s="10" t="s">
        <v>54</v>
      </c>
      <c r="K1" s="10" t="s">
        <v>57</v>
      </c>
      <c r="L1" s="10" t="s">
        <v>62</v>
      </c>
    </row>
    <row r="2" spans="1:12" x14ac:dyDescent="0.3">
      <c r="A2" s="13">
        <f>ROW(A1)</f>
        <v>1</v>
      </c>
      <c r="B2" s="39" t="s">
        <v>63</v>
      </c>
      <c r="C2" s="14" t="s">
        <v>6</v>
      </c>
      <c r="D2" s="14" t="s">
        <v>5</v>
      </c>
      <c r="E2" s="14" t="s">
        <v>0</v>
      </c>
      <c r="F2" s="16"/>
      <c r="G2" s="15"/>
      <c r="H2" s="12"/>
      <c r="I2" s="24"/>
      <c r="J2" s="17"/>
      <c r="K2" s="17"/>
      <c r="L2" s="16"/>
    </row>
    <row r="3" spans="1:12" x14ac:dyDescent="0.3">
      <c r="A3" s="13">
        <f t="shared" ref="A3:A8" si="0">ROW(A2)</f>
        <v>2</v>
      </c>
      <c r="B3" s="39" t="s">
        <v>64</v>
      </c>
      <c r="C3" s="11" t="s">
        <v>7</v>
      </c>
      <c r="D3" s="11" t="s">
        <v>5</v>
      </c>
      <c r="E3" s="11" t="s">
        <v>0</v>
      </c>
      <c r="F3" s="11"/>
      <c r="G3" s="12"/>
      <c r="H3" s="12"/>
      <c r="I3" s="24"/>
      <c r="J3" s="17"/>
      <c r="K3" s="17"/>
      <c r="L3" s="17"/>
    </row>
    <row r="4" spans="1:12" x14ac:dyDescent="0.3">
      <c r="A4" s="13">
        <f t="shared" si="0"/>
        <v>3</v>
      </c>
      <c r="B4" s="39" t="s">
        <v>65</v>
      </c>
      <c r="C4" s="11" t="s">
        <v>8</v>
      </c>
      <c r="D4" s="11" t="s">
        <v>5</v>
      </c>
      <c r="E4" s="11" t="s">
        <v>0</v>
      </c>
      <c r="F4" s="11"/>
      <c r="G4" s="12"/>
      <c r="H4" s="12"/>
      <c r="I4" s="24"/>
      <c r="J4" s="17"/>
      <c r="K4" s="17"/>
      <c r="L4" s="17"/>
    </row>
    <row r="5" spans="1:12" x14ac:dyDescent="0.3">
      <c r="A5" s="13">
        <f t="shared" si="0"/>
        <v>4</v>
      </c>
      <c r="B5" s="39" t="s">
        <v>66</v>
      </c>
      <c r="C5" s="11" t="s">
        <v>7</v>
      </c>
      <c r="D5" s="14" t="s">
        <v>5</v>
      </c>
      <c r="E5" s="14" t="s">
        <v>0</v>
      </c>
      <c r="F5" s="14"/>
      <c r="G5" s="15"/>
      <c r="H5" s="15"/>
      <c r="I5" s="25"/>
      <c r="J5" s="11"/>
      <c r="K5" s="11"/>
      <c r="L5" s="11"/>
    </row>
    <row r="6" spans="1:12" x14ac:dyDescent="0.3">
      <c r="A6" s="13">
        <f t="shared" si="0"/>
        <v>5</v>
      </c>
      <c r="B6" s="39" t="s">
        <v>67</v>
      </c>
      <c r="C6" s="11" t="s">
        <v>17</v>
      </c>
      <c r="D6" s="11" t="s">
        <v>5</v>
      </c>
      <c r="E6" s="11" t="s">
        <v>0</v>
      </c>
      <c r="F6" s="11"/>
      <c r="G6" s="12"/>
      <c r="H6" s="12"/>
      <c r="I6" s="25"/>
      <c r="J6" s="11"/>
      <c r="K6" s="11"/>
      <c r="L6" s="11"/>
    </row>
    <row r="7" spans="1:12" x14ac:dyDescent="0.3">
      <c r="A7" s="13">
        <f t="shared" si="0"/>
        <v>6</v>
      </c>
      <c r="B7" s="39" t="s">
        <v>68</v>
      </c>
      <c r="C7" s="11" t="s">
        <v>17</v>
      </c>
      <c r="D7" s="11" t="s">
        <v>5</v>
      </c>
      <c r="E7" s="11" t="s">
        <v>0</v>
      </c>
      <c r="F7" s="11"/>
      <c r="G7" s="12"/>
      <c r="H7" s="12"/>
      <c r="I7" s="25"/>
      <c r="J7" s="11"/>
      <c r="K7" s="11"/>
      <c r="L7" s="11"/>
    </row>
    <row r="8" spans="1:12" x14ac:dyDescent="0.3">
      <c r="A8" s="13">
        <f t="shared" si="0"/>
        <v>7</v>
      </c>
      <c r="B8" s="39" t="s">
        <v>69</v>
      </c>
      <c r="C8" s="11" t="s">
        <v>7</v>
      </c>
      <c r="D8" s="11" t="s">
        <v>5</v>
      </c>
      <c r="E8" s="11" t="s">
        <v>0</v>
      </c>
      <c r="F8" s="11"/>
      <c r="G8" s="12"/>
      <c r="H8" s="12"/>
      <c r="I8" s="25"/>
      <c r="J8" s="11"/>
      <c r="K8" s="11"/>
      <c r="L8" s="11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tabSelected="1" zoomScale="85" zoomScaleNormal="85" workbookViewId="0">
      <selection activeCell="B2" sqref="B2"/>
    </sheetView>
  </sheetViews>
  <sheetFormatPr defaultRowHeight="14.4" x14ac:dyDescent="0.3"/>
  <cols>
    <col min="1" max="1" width="11.6640625" customWidth="1"/>
    <col min="2" max="2" width="41.44140625" style="26" bestFit="1" customWidth="1"/>
    <col min="3" max="3" width="17.6640625" customWidth="1"/>
  </cols>
  <sheetData>
    <row r="1" spans="1:3" ht="15.6" x14ac:dyDescent="0.3">
      <c r="A1" s="9" t="s">
        <v>55</v>
      </c>
      <c r="B1" s="37" t="s">
        <v>58</v>
      </c>
      <c r="C1" s="10" t="s">
        <v>59</v>
      </c>
    </row>
    <row r="2" spans="1:3" x14ac:dyDescent="0.3">
      <c r="A2" s="13">
        <f>ROW(A1)</f>
        <v>1</v>
      </c>
      <c r="B2" s="38" t="s">
        <v>70</v>
      </c>
      <c r="C2" s="14" t="s">
        <v>72</v>
      </c>
    </row>
    <row r="3" spans="1:3" x14ac:dyDescent="0.3">
      <c r="A3" s="13">
        <f t="shared" ref="A3" si="0">ROW(A2)</f>
        <v>2</v>
      </c>
      <c r="B3" s="38" t="s">
        <v>71</v>
      </c>
      <c r="C3" s="14" t="s">
        <v>61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rvicos"/>
  <dimension ref="A1:E239"/>
  <sheetViews>
    <sheetView zoomScale="85" zoomScaleNormal="85" workbookViewId="0">
      <selection activeCell="B2" sqref="B2"/>
    </sheetView>
  </sheetViews>
  <sheetFormatPr defaultRowHeight="14.4" x14ac:dyDescent="0.3"/>
  <cols>
    <col min="1" max="1" width="12.77734375" customWidth="1"/>
    <col min="2" max="2" width="11.44140625" customWidth="1"/>
    <col min="3" max="3" width="15" customWidth="1"/>
    <col min="9" max="9" width="9.77734375" customWidth="1"/>
    <col min="10" max="10" width="11.77734375" bestFit="1" customWidth="1"/>
  </cols>
  <sheetData>
    <row r="1" spans="1:5" x14ac:dyDescent="0.3">
      <c r="A1" s="2" t="s">
        <v>2</v>
      </c>
      <c r="B1" s="2" t="s">
        <v>1</v>
      </c>
    </row>
    <row r="2" spans="1:5" x14ac:dyDescent="0.3">
      <c r="A2" s="2" t="e">
        <f>_xlfn.WEBSERVICE("viacep.com.br/ws/"&amp;PJ!#REF!&amp;"/xml/")</f>
        <v>#REF!</v>
      </c>
      <c r="B2" s="2" t="str">
        <f>_xlfn.WEBSERVICE("viacep.com.br/ws/"&amp;PF!$I2&amp;"/xml/")</f>
        <v>&lt;?xml version="1.0" encoding="UTF-8"?&gt;
&lt;xmlcep&gt;
  &lt;cep&gt;58406-125&lt;/cep&gt;
  &lt;logradouro&gt;Rua Manoel David de Arruda&lt;/logradouro&gt;
  &lt;complemento&gt;&lt;/complemento&gt;
  &lt;bairro&gt;Santo Antônio&lt;/bairro&gt;
  &lt;localidade&gt;Campina Grande&lt;/localidade&gt;
  &lt;uf&gt;PB&lt;/uf&gt;
  &lt;ibge&gt;2504009&lt;/ibge&gt;
  &lt;gia&gt;&lt;/gia&gt;
  &lt;ddd&gt;83&lt;/ddd&gt;
  &lt;siafi&gt;1981&lt;/siafi&gt;
&lt;/xmlcep&gt;</v>
      </c>
      <c r="D2" t="s">
        <v>60</v>
      </c>
    </row>
    <row r="3" spans="1:5" x14ac:dyDescent="0.3">
      <c r="A3" s="2" t="e">
        <f>_xlfn.WEBSERVICE("viacep.com.br/ws/"&amp;PJ!#REF!&amp;"/xml/")</f>
        <v>#REF!</v>
      </c>
      <c r="B3" s="2" t="str">
        <f>_xlfn.WEBSERVICE("viacep.com.br/ws/"&amp;PF!$I3&amp;"/xml/")</f>
        <v>&lt;?xml version="1.0" encoding="UTF-8"?&gt;
&lt;xmlcep&gt;
  &lt;cep&gt;20750-000&lt;/cep&gt;
  &lt;logradouro&gt;Rua Ferreira Leite&lt;/logradouro&gt;
  &lt;complemento&gt;&lt;/complemento&gt;
  &lt;bairro&gt;Abolição&lt;/bairro&gt;
  &lt;localidade&gt;Rio de Janeiro&lt;/localidade&gt;
  &lt;uf&gt;RJ&lt;/uf&gt;
  &lt;ibge&gt;3304557&lt;/ibge&gt;
  &lt;gia&gt;&lt;/gia&gt;
  &lt;ddd&gt;21&lt;/ddd&gt;
  &lt;siafi&gt;6001&lt;/siafi&gt;
&lt;/xmlcep&gt;</v>
      </c>
      <c r="D3" t="s">
        <v>60</v>
      </c>
    </row>
    <row r="4" spans="1:5" x14ac:dyDescent="0.3">
      <c r="A4" s="2" t="e">
        <f>_xlfn.WEBSERVICE("viacep.com.br/ws/"&amp;PJ!#REF!&amp;"/xml/")</f>
        <v>#REF!</v>
      </c>
      <c r="B4" s="2" t="str">
        <f>_xlfn.WEBSERVICE("viacep.com.br/ws/"&amp;PF!$I4&amp;"/xml/")</f>
        <v>&lt;?xml version="1.0" encoding="UTF-8"?&gt;
&lt;xmlcep&gt;
  &lt;cep&gt;74966-230&lt;/cep&gt;
  &lt;logradouro&gt;Rua 65&lt;/logradouro&gt;
  &lt;complemento&gt;&lt;/complemento&gt;
  &lt;bairro&gt;Independência - 3º Complemento&lt;/bairro&gt;
  &lt;localidade&gt;Aparecida de Goiânia&lt;/localidade&gt;
  &lt;uf&gt;GO&lt;/uf&gt;
  &lt;ibge&gt;5201405&lt;/ibge&gt;
  &lt;gia&gt;&lt;/gia&gt;
  &lt;ddd&gt;62&lt;/ddd&gt;
  &lt;siafi&gt;9227&lt;/siafi&gt;
&lt;/xmlcep&gt;</v>
      </c>
      <c r="D4" t="s">
        <v>60</v>
      </c>
    </row>
    <row r="5" spans="1:5" x14ac:dyDescent="0.3">
      <c r="A5" s="2" t="e">
        <f>_xlfn.WEBSERVICE("viacep.com.br/ws/"&amp;PJ!#REF!&amp;"/xml/")</f>
        <v>#REF!</v>
      </c>
      <c r="B5" s="2" t="str">
        <f>_xlfn.WEBSERVICE("viacep.com.br/ws/"&amp;PF!$I5&amp;"/xml/")</f>
        <v>&lt;?xml version="1.0" encoding="UTF-8"?&gt;
&lt;xmlcep&gt;
  &lt;cep&gt;89239-226&lt;/cep&gt;
  &lt;logradouro&gt;Rua Irio Zanini&lt;/logradouro&gt;
  &lt;complemento&gt;&lt;/complemento&gt;
  &lt;bairro&gt;Pirabeiraba (Pirabeiraba)&lt;/bairro&gt;
  &lt;localidade&gt;Joinville&lt;/localidade&gt;
  &lt;uf&gt;SC&lt;/uf&gt;
  &lt;ibge&gt;4209102&lt;/ibge&gt;
  &lt;gia&gt;&lt;/gia&gt;
  &lt;ddd&gt;47&lt;/ddd&gt;
  &lt;siafi&gt;8179&lt;/siafi&gt;
&lt;/xmlcep&gt;</v>
      </c>
      <c r="D5" t="s">
        <v>60</v>
      </c>
    </row>
    <row r="6" spans="1:5" x14ac:dyDescent="0.3">
      <c r="A6" s="2" t="e">
        <f>_xlfn.WEBSERVICE("viacep.com.br/ws/"&amp;PJ!#REF!&amp;"/xml/")</f>
        <v>#REF!</v>
      </c>
      <c r="B6" s="2" t="str">
        <f>_xlfn.WEBSERVICE("viacep.com.br/ws/"&amp;PF!$I6&amp;"/xml/")</f>
        <v>&lt;?xml version="1.0" encoding="UTF-8"?&gt;
&lt;xmlcep&gt;
  &lt;cep&gt;66020-645&lt;/cep&gt;
  &lt;logradouro&gt;Rua Triunvirato&lt;/logradouro&gt;
  &lt;complemento&gt;de 369/370 a 567/568&lt;/complemento&gt;
  &lt;bairro&gt;Cidade Velha&lt;/bairro&gt;
  &lt;localidade&gt;Belém&lt;/localidade&gt;
  &lt;uf&gt;PA&lt;/uf&gt;
  &lt;ibge&gt;1501402&lt;/ibge&gt;
  &lt;gia&gt;&lt;/gia&gt;
  &lt;ddd&gt;91&lt;/ddd&gt;
  &lt;siafi&gt;0427&lt;/siafi&gt;
&lt;/xmlcep&gt;</v>
      </c>
      <c r="D6" t="s">
        <v>60</v>
      </c>
    </row>
    <row r="7" spans="1:5" x14ac:dyDescent="0.3">
      <c r="A7" s="2" t="e">
        <f>_xlfn.WEBSERVICE("viacep.com.br/ws/"&amp;PJ!#REF!&amp;"/xml/")</f>
        <v>#REF!</v>
      </c>
      <c r="B7" s="2" t="e">
        <f>_xlfn.WEBSERVICE("viacep.com.br/ws/"&amp;PF!#REF!&amp;"/xml/")</f>
        <v>#REF!</v>
      </c>
      <c r="D7" t="s">
        <v>60</v>
      </c>
      <c r="E7" t="s">
        <v>60</v>
      </c>
    </row>
    <row r="8" spans="1:5" x14ac:dyDescent="0.3">
      <c r="A8" s="2" t="e">
        <f>_xlfn.WEBSERVICE("viacep.com.br/ws/"&amp;PJ!#REF!&amp;"/xml/")</f>
        <v>#REF!</v>
      </c>
      <c r="B8" s="2" t="e">
        <f>_xlfn.WEBSERVICE("viacep.com.br/ws/"&amp;PF!#REF!&amp;"/xml/")</f>
        <v>#REF!</v>
      </c>
    </row>
    <row r="9" spans="1:5" x14ac:dyDescent="0.3">
      <c r="A9" s="2" t="e">
        <f>_xlfn.WEBSERVICE("viacep.com.br/ws/"&amp;PJ!#REF!&amp;"/xml/")</f>
        <v>#REF!</v>
      </c>
      <c r="B9" s="2" t="e">
        <f>_xlfn.WEBSERVICE("viacep.com.br/ws/"&amp;PF!#REF!&amp;"/xml/")</f>
        <v>#REF!</v>
      </c>
    </row>
    <row r="10" spans="1:5" x14ac:dyDescent="0.3">
      <c r="A10" s="2" t="e">
        <f>_xlfn.WEBSERVICE("viacep.com.br/ws/"&amp;PJ!#REF!&amp;"/xml/")</f>
        <v>#REF!</v>
      </c>
      <c r="B10" s="2" t="e">
        <f>_xlfn.WEBSERVICE("viacep.com.br/ws/"&amp;PF!#REF!&amp;"/xml/")</f>
        <v>#REF!</v>
      </c>
    </row>
    <row r="11" spans="1:5" x14ac:dyDescent="0.3">
      <c r="A11" s="2" t="e">
        <f>_xlfn.WEBSERVICE("viacep.com.br/ws/"&amp;PJ!#REF!&amp;"/xml/")</f>
        <v>#REF!</v>
      </c>
      <c r="B11" s="2" t="e">
        <f>_xlfn.WEBSERVICE("viacep.com.br/ws/"&amp;PF!#REF!&amp;"/xml/")</f>
        <v>#REF!</v>
      </c>
    </row>
    <row r="12" spans="1:5" x14ac:dyDescent="0.3">
      <c r="A12" s="2" t="e">
        <f>_xlfn.WEBSERVICE("viacep.com.br/ws/"&amp;PJ!#REF!&amp;"/xml/")</f>
        <v>#REF!</v>
      </c>
      <c r="B12" s="2" t="e">
        <f>_xlfn.WEBSERVICE("viacep.com.br/ws/"&amp;PF!#REF!&amp;"/xml/")</f>
        <v>#REF!</v>
      </c>
    </row>
    <row r="13" spans="1:5" x14ac:dyDescent="0.3">
      <c r="A13" s="2" t="e">
        <f>_xlfn.WEBSERVICE("viacep.com.br/ws/"&amp;PJ!#REF!&amp;"/xml/")</f>
        <v>#REF!</v>
      </c>
      <c r="B13" s="2" t="e">
        <f>_xlfn.WEBSERVICE("viacep.com.br/ws/"&amp;PF!#REF!&amp;"/xml/")</f>
        <v>#REF!</v>
      </c>
    </row>
    <row r="14" spans="1:5" x14ac:dyDescent="0.3">
      <c r="A14" s="2" t="e">
        <f>_xlfn.WEBSERVICE("viacep.com.br/ws/"&amp;PJ!#REF!&amp;"/xml/")</f>
        <v>#REF!</v>
      </c>
      <c r="B14" s="2" t="e">
        <f>_xlfn.WEBSERVICE("viacep.com.br/ws/"&amp;PF!#REF!&amp;"/xml/")</f>
        <v>#REF!</v>
      </c>
    </row>
    <row r="15" spans="1:5" x14ac:dyDescent="0.3">
      <c r="A15" s="2" t="e">
        <f>_xlfn.WEBSERVICE("viacep.com.br/ws/"&amp;PJ!#REF!&amp;"/xml/")</f>
        <v>#REF!</v>
      </c>
      <c r="B15" s="2" t="e">
        <f>_xlfn.WEBSERVICE("viacep.com.br/ws/"&amp;PF!#REF!&amp;"/xml/")</f>
        <v>#REF!</v>
      </c>
    </row>
    <row r="16" spans="1:5" x14ac:dyDescent="0.3">
      <c r="A16" s="2" t="e">
        <f>_xlfn.WEBSERVICE("viacep.com.br/ws/"&amp;PJ!#REF!&amp;"/xml/")</f>
        <v>#REF!</v>
      </c>
      <c r="B16" s="2" t="e">
        <f>_xlfn.WEBSERVICE("viacep.com.br/ws/"&amp;PF!#REF!&amp;"/xml/")</f>
        <v>#REF!</v>
      </c>
    </row>
    <row r="17" spans="1:2" x14ac:dyDescent="0.3">
      <c r="A17" s="2" t="e">
        <f>_xlfn.WEBSERVICE("viacep.com.br/ws/"&amp;PJ!#REF!&amp;"/xml/")</f>
        <v>#REF!</v>
      </c>
      <c r="B17" s="2" t="e">
        <f>_xlfn.WEBSERVICE("viacep.com.br/ws/"&amp;PF!#REF!&amp;"/xml/")</f>
        <v>#REF!</v>
      </c>
    </row>
    <row r="18" spans="1:2" x14ac:dyDescent="0.3">
      <c r="A18" s="2" t="e">
        <f>_xlfn.WEBSERVICE("viacep.com.br/ws/"&amp;PJ!#REF!&amp;"/xml/")</f>
        <v>#REF!</v>
      </c>
      <c r="B18" s="2" t="e">
        <f>_xlfn.WEBSERVICE("viacep.com.br/ws/"&amp;PF!#REF!&amp;"/xml/")</f>
        <v>#REF!</v>
      </c>
    </row>
    <row r="19" spans="1:2" x14ac:dyDescent="0.3">
      <c r="A19" s="2" t="e">
        <f>_xlfn.WEBSERVICE("viacep.com.br/ws/"&amp;PJ!#REF!&amp;"/xml/")</f>
        <v>#REF!</v>
      </c>
      <c r="B19" s="2" t="e">
        <f>_xlfn.WEBSERVICE("viacep.com.br/ws/"&amp;PF!#REF!&amp;"/xml/")</f>
        <v>#REF!</v>
      </c>
    </row>
    <row r="20" spans="1:2" x14ac:dyDescent="0.3">
      <c r="A20" s="2" t="e">
        <f>_xlfn.WEBSERVICE("viacep.com.br/ws/"&amp;PJ!#REF!&amp;"/xml/")</f>
        <v>#REF!</v>
      </c>
      <c r="B20" s="2" t="e">
        <f>_xlfn.WEBSERVICE("viacep.com.br/ws/"&amp;PF!#REF!&amp;"/xml/")</f>
        <v>#REF!</v>
      </c>
    </row>
    <row r="21" spans="1:2" x14ac:dyDescent="0.3">
      <c r="A21" s="2" t="str">
        <f>_xlfn.WEBSERVICE("viacep.com.br/ws/"&amp;PJ!$E2&amp;"/xml/")</f>
        <v>&lt;?xml version="1.0" encoding="UTF-8"?&gt;
&lt;xmlcep&gt;
  &lt;cep&gt;65043-763&lt;/cep&gt;
  &lt;logradouro&gt;Avenida dos Africanos&lt;/logradouro&gt;
  &lt;complemento&gt;&lt;/complemento&gt;
  &lt;bairro&gt;COHEB do Sacavém&lt;/bairro&gt;
  &lt;localidade&gt;São Luís&lt;/localidade&gt;
  &lt;uf&gt;MA&lt;/uf&gt;
  &lt;ibge&gt;2111300&lt;/ibge&gt;
  &lt;gia&gt;&lt;/gia&gt;
  &lt;ddd&gt;98&lt;/ddd&gt;
  &lt;siafi&gt;0921&lt;/siafi&gt;
&lt;/xmlcep&gt;</v>
      </c>
      <c r="B21" s="2" t="e">
        <f>_xlfn.WEBSERVICE("viacep.com.br/ws/"&amp;PF!#REF!&amp;"/xml/")</f>
        <v>#REF!</v>
      </c>
    </row>
    <row r="22" spans="1:2" x14ac:dyDescent="0.3">
      <c r="A22" s="2" t="e">
        <f>_xlfn.WEBSERVICE("viacep.com.br/ws/"&amp;PJ!#REF!&amp;"/xml/")</f>
        <v>#REF!</v>
      </c>
      <c r="B22" s="2" t="e">
        <f>_xlfn.WEBSERVICE("viacep.com.br/ws/"&amp;PF!#REF!&amp;"/xml/")</f>
        <v>#REF!</v>
      </c>
    </row>
    <row r="23" spans="1:2" x14ac:dyDescent="0.3">
      <c r="A23" s="2" t="str">
        <f>_xlfn.WEBSERVICE("viacep.com.br/ws/"&amp;PJ!$E3&amp;"/xml/")</f>
        <v>&lt;?xml version="1.0" encoding="UTF-8"?&gt;
&lt;xmlcep&gt;
  &lt;cep&gt;53429-700&lt;/cep&gt;
  &lt;logradouro&gt;Rua Delfinópolis&lt;/logradouro&gt;
  &lt;complemento&gt;até 700/701&lt;/complemento&gt;
  &lt;bairro&gt;Nossa Senhora da Conceição&lt;/bairro&gt;
  &lt;localidade&gt;Paulista&lt;/localidade&gt;
  &lt;uf&gt;PE&lt;/uf&gt;
  &lt;ibge&gt;2610707&lt;/ibge&gt;
  &lt;gia&gt;&lt;/gia&gt;
  &lt;ddd&gt;81&lt;/ddd&gt;
  &lt;siafi&gt;2513&lt;/siafi&gt;
&lt;/xmlcep&gt;</v>
      </c>
      <c r="B23" s="2" t="e">
        <f>_xlfn.WEBSERVICE("viacep.com.br/ws/"&amp;PF!#REF!&amp;"/xml/")</f>
        <v>#REF!</v>
      </c>
    </row>
    <row r="24" spans="1:2" x14ac:dyDescent="0.3">
      <c r="A24" s="2" t="str">
        <f>_xlfn.WEBSERVICE("viacep.com.br/ws/"&amp;PJ!$E4&amp;"/xml/")</f>
        <v>&lt;?xml version="1.0" encoding="UTF-8"?&gt;
&lt;xmlcep&gt;
  &lt;cep&gt;78730-690&lt;/cep&gt;
  &lt;logradouro&gt;Rua Maria Camargo de Melo&lt;/logradouro&gt;
  &lt;complemento&gt;&lt;/complemento&gt;
  &lt;bairro&gt;Loteamento Nossa Senhora do Amparo&lt;/bairro&gt;
  &lt;localidade&gt;Rondonópolis&lt;/localidade&gt;
  &lt;uf&gt;MT&lt;/uf&gt;
  &lt;ibge&gt;5107602&lt;/ibge&gt;
  &lt;gia&gt;&lt;/gia&gt;
  &lt;ddd&gt;66&lt;/ddd&gt;
  &lt;siafi&gt;9151&lt;/siafi&gt;
&lt;/xmlcep&gt;</v>
      </c>
      <c r="B24" s="2" t="e">
        <f>_xlfn.WEBSERVICE("viacep.com.br/ws/"&amp;PF!#REF!&amp;"/xml/")</f>
        <v>#REF!</v>
      </c>
    </row>
    <row r="25" spans="1:2" x14ac:dyDescent="0.3">
      <c r="A25" s="2" t="e">
        <f>_xlfn.WEBSERVICE("viacep.com.br/ws/"&amp;PJ!#REF!&amp;"/xml/")</f>
        <v>#REF!</v>
      </c>
      <c r="B25" s="2" t="e">
        <f>_xlfn.WEBSERVICE("viacep.com.br/ws/"&amp;PF!#REF!&amp;"/xml/")</f>
        <v>#REF!</v>
      </c>
    </row>
    <row r="26" spans="1:2" x14ac:dyDescent="0.3">
      <c r="A26" s="2" t="e">
        <f>_xlfn.WEBSERVICE("viacep.com.br/ws/"&amp;PJ!#REF!&amp;"/xml/")</f>
        <v>#REF!</v>
      </c>
      <c r="B26" s="2" t="e">
        <f>_xlfn.WEBSERVICE("viacep.com.br/ws/"&amp;PF!#REF!&amp;"/xml/")</f>
        <v>#REF!</v>
      </c>
    </row>
    <row r="27" spans="1:2" x14ac:dyDescent="0.3">
      <c r="A27" s="2" t="str">
        <f>_xlfn.WEBSERVICE("viacep.com.br/ws/"&amp;PJ!$E5&amp;"/xml/")</f>
        <v>&lt;?xml version="1.0" encoding="UTF-8"?&gt;
&lt;xmlcep&gt;
  &lt;cep&gt;58707-425&lt;/cep&gt;
  &lt;logradouro&gt;Travessa Manoel Reinaldo&lt;/logradouro&gt;
  &lt;complemento&gt;&lt;/complemento&gt;
  &lt;bairro&gt;Jatobá&lt;/bairro&gt;
  &lt;localidade&gt;Patos&lt;/localidade&gt;
  &lt;uf&gt;PB&lt;/uf&gt;
  &lt;ibge&gt;2510808&lt;/ibge&gt;
  &lt;gia&gt;&lt;/gia&gt;
  &lt;ddd&gt;83&lt;/ddd&gt;
  &lt;siafi&gt;2117&lt;/siafi&gt;
&lt;/xmlcep&gt;</v>
      </c>
      <c r="B27" s="2" t="e">
        <f>_xlfn.WEBSERVICE("viacep.com.br/ws/"&amp;PF!#REF!&amp;"/xml/")</f>
        <v>#REF!</v>
      </c>
    </row>
    <row r="28" spans="1:2" x14ac:dyDescent="0.3">
      <c r="A28" s="2" t="str">
        <f>_xlfn.WEBSERVICE("viacep.com.br/ws/"&amp;PJ!$E6&amp;"/xml/")</f>
        <v>&lt;?xml version="1.0" encoding="UTF-8"?&gt;
&lt;xmlcep&gt;
  &lt;cep&gt;64039-595&lt;/cep&gt;
  &lt;logradouro&gt;Rua da Paz&lt;/logradouro&gt;
  &lt;complemento&gt;(Prq das Esplanadas)&lt;/complemento&gt;
  &lt;bairro&gt;Esplanada&lt;/bairro&gt;
  &lt;localidade&gt;Teresina&lt;/localidade&gt;
  &lt;uf&gt;PI&lt;/uf&gt;
  &lt;ibge&gt;2211001&lt;/ibge&gt;
  &lt;gia&gt;&lt;/gia&gt;
  &lt;ddd&gt;86&lt;/ddd&gt;
  &lt;siafi&gt;1219&lt;/siafi&gt;
&lt;/xmlcep&gt;</v>
      </c>
      <c r="B28" s="2" t="e">
        <f>_xlfn.WEBSERVICE("viacep.com.br/ws/"&amp;PF!$I7&amp;"/xml/")</f>
        <v>#VALUE!</v>
      </c>
    </row>
    <row r="29" spans="1:2" x14ac:dyDescent="0.3">
      <c r="A29" s="2" t="e">
        <f>_xlfn.WEBSERVICE("viacep.com.br/ws/"&amp;PJ!#REF!&amp;"/xml/")</f>
        <v>#REF!</v>
      </c>
      <c r="B29" s="2" t="e">
        <f>_xlfn.WEBSERVICE("viacep.com.br/ws/"&amp;PF!$I8&amp;"/xml/")</f>
        <v>#VALUE!</v>
      </c>
    </row>
    <row r="30" spans="1:2" x14ac:dyDescent="0.3">
      <c r="A30" s="2" t="e">
        <f>_xlfn.WEBSERVICE("viacep.com.br/ws/"&amp;PJ!#REF!&amp;"/xml/")</f>
        <v>#REF!</v>
      </c>
      <c r="B30" s="2" t="e">
        <f>_xlfn.WEBSERVICE("viacep.com.br/ws/"&amp;PF!$I9&amp;"/xml/")</f>
        <v>#VALUE!</v>
      </c>
    </row>
    <row r="31" spans="1:2" x14ac:dyDescent="0.3">
      <c r="A31" s="2" t="e">
        <f>_xlfn.WEBSERVICE("viacep.com.br/ws/"&amp;PJ!#REF!&amp;"/xml/")</f>
        <v>#REF!</v>
      </c>
      <c r="B31" s="2" t="e">
        <f>_xlfn.WEBSERVICE("viacep.com.br/ws/"&amp;PF!$I10&amp;"/xml/")</f>
        <v>#VALUE!</v>
      </c>
    </row>
    <row r="32" spans="1:2" x14ac:dyDescent="0.3">
      <c r="A32" s="2" t="e">
        <f>_xlfn.WEBSERVICE("viacep.com.br/ws/"&amp;PJ!#REF!&amp;"/xml/")</f>
        <v>#REF!</v>
      </c>
      <c r="B32" s="2" t="e">
        <f>_xlfn.WEBSERVICE("viacep.com.br/ws/"&amp;PF!$I11&amp;"/xml/")</f>
        <v>#VALUE!</v>
      </c>
    </row>
    <row r="33" spans="1:2" x14ac:dyDescent="0.3">
      <c r="A33" s="2" t="e">
        <f>_xlfn.WEBSERVICE("viacep.com.br/ws/"&amp;PJ!#REF!&amp;"/xml/")</f>
        <v>#REF!</v>
      </c>
      <c r="B33" s="2" t="e">
        <f>_xlfn.WEBSERVICE("viacep.com.br/ws/"&amp;PF!$I12&amp;"/xml/")</f>
        <v>#VALUE!</v>
      </c>
    </row>
    <row r="34" spans="1:2" x14ac:dyDescent="0.3">
      <c r="A34" s="2" t="e">
        <f>_xlfn.WEBSERVICE("viacep.com.br/ws/"&amp;PJ!#REF!&amp;"/xml/")</f>
        <v>#REF!</v>
      </c>
      <c r="B34" s="2" t="e">
        <f>_xlfn.WEBSERVICE("viacep.com.br/ws/"&amp;PF!$I13&amp;"/xml/")</f>
        <v>#VALUE!</v>
      </c>
    </row>
    <row r="35" spans="1:2" x14ac:dyDescent="0.3">
      <c r="A35" s="2" t="e">
        <f>_xlfn.WEBSERVICE("viacep.com.br/ws/"&amp;PJ!#REF!&amp;"/xml/")</f>
        <v>#REF!</v>
      </c>
      <c r="B35" s="2" t="e">
        <f>_xlfn.WEBSERVICE("viacep.com.br/ws/"&amp;PF!$I14&amp;"/xml/")</f>
        <v>#VALUE!</v>
      </c>
    </row>
    <row r="36" spans="1:2" x14ac:dyDescent="0.3">
      <c r="A36" s="2" t="e">
        <f>_xlfn.WEBSERVICE("viacep.com.br/ws/"&amp;PJ!#REF!&amp;"/xml/")</f>
        <v>#REF!</v>
      </c>
      <c r="B36" s="2" t="e">
        <f>_xlfn.WEBSERVICE("viacep.com.br/ws/"&amp;PF!$I15&amp;"/xml/")</f>
        <v>#VALUE!</v>
      </c>
    </row>
    <row r="37" spans="1:2" x14ac:dyDescent="0.3">
      <c r="A37" s="2" t="e">
        <f>_xlfn.WEBSERVICE("viacep.com.br/ws/"&amp;PJ!#REF!&amp;"/xml/")</f>
        <v>#REF!</v>
      </c>
      <c r="B37" s="2" t="e">
        <f>_xlfn.WEBSERVICE("viacep.com.br/ws/"&amp;PF!$I16&amp;"/xml/")</f>
        <v>#VALUE!</v>
      </c>
    </row>
    <row r="38" spans="1:2" x14ac:dyDescent="0.3">
      <c r="A38" s="2" t="e">
        <f>_xlfn.WEBSERVICE("viacep.com.br/ws/"&amp;PJ!#REF!&amp;"/xml/")</f>
        <v>#REF!</v>
      </c>
      <c r="B38" s="2" t="e">
        <f>_xlfn.WEBSERVICE("viacep.com.br/ws/"&amp;PF!$I17&amp;"/xml/")</f>
        <v>#VALUE!</v>
      </c>
    </row>
    <row r="39" spans="1:2" x14ac:dyDescent="0.3">
      <c r="A39" s="2" t="e">
        <f>_xlfn.WEBSERVICE("viacep.com.br/ws/"&amp;PJ!#REF!&amp;"/xml/")</f>
        <v>#REF!</v>
      </c>
      <c r="B39" s="2" t="e">
        <f>_xlfn.WEBSERVICE("viacep.com.br/ws/"&amp;PF!$I18&amp;"/xml/")</f>
        <v>#VALUE!</v>
      </c>
    </row>
    <row r="40" spans="1:2" x14ac:dyDescent="0.3">
      <c r="A40" s="2" t="e">
        <f>_xlfn.WEBSERVICE("viacep.com.br/ws/"&amp;PJ!$E7&amp;"/xml/")</f>
        <v>#VALUE!</v>
      </c>
      <c r="B40" s="2" t="e">
        <f>_xlfn.WEBSERVICE("viacep.com.br/ws/"&amp;PF!$I19&amp;"/xml/")</f>
        <v>#VALUE!</v>
      </c>
    </row>
    <row r="41" spans="1:2" x14ac:dyDescent="0.3">
      <c r="A41" s="2" t="e">
        <f>_xlfn.WEBSERVICE("viacep.com.br/ws/"&amp;PJ!$E8&amp;"/xml/")</f>
        <v>#VALUE!</v>
      </c>
      <c r="B41" s="2" t="e">
        <f>_xlfn.WEBSERVICE("viacep.com.br/ws/"&amp;PF!$I20&amp;"/xml/")</f>
        <v>#VALUE!</v>
      </c>
    </row>
    <row r="42" spans="1:2" x14ac:dyDescent="0.3">
      <c r="A42" s="2" t="e">
        <f>_xlfn.WEBSERVICE("viacep.com.br/ws/"&amp;PJ!$E9&amp;"/xml/")</f>
        <v>#VALUE!</v>
      </c>
      <c r="B42" s="2" t="e">
        <f>_xlfn.WEBSERVICE("viacep.com.br/ws/"&amp;PF!$I21&amp;"/xml/")</f>
        <v>#VALUE!</v>
      </c>
    </row>
    <row r="43" spans="1:2" x14ac:dyDescent="0.3">
      <c r="A43" s="2" t="e">
        <f>_xlfn.WEBSERVICE("viacep.com.br/ws/"&amp;PJ!$E10&amp;"/xml/")</f>
        <v>#VALUE!</v>
      </c>
      <c r="B43" s="2" t="e">
        <f>_xlfn.WEBSERVICE("viacep.com.br/ws/"&amp;PF!$I22&amp;"/xml/")</f>
        <v>#VALUE!</v>
      </c>
    </row>
    <row r="44" spans="1:2" x14ac:dyDescent="0.3">
      <c r="A44" s="2" t="e">
        <f>_xlfn.WEBSERVICE("viacep.com.br/ws/"&amp;PJ!$E11&amp;"/xml/")</f>
        <v>#VALUE!</v>
      </c>
      <c r="B44" s="2" t="e">
        <f>_xlfn.WEBSERVICE("viacep.com.br/ws/"&amp;PF!$I23&amp;"/xml/")</f>
        <v>#VALUE!</v>
      </c>
    </row>
    <row r="45" spans="1:2" x14ac:dyDescent="0.3">
      <c r="A45" s="2" t="e">
        <f>_xlfn.WEBSERVICE("viacep.com.br/ws/"&amp;PJ!$E12&amp;"/xml/")</f>
        <v>#VALUE!</v>
      </c>
      <c r="B45" s="2" t="e">
        <f>_xlfn.WEBSERVICE("viacep.com.br/ws/"&amp;PF!$I24&amp;"/xml/")</f>
        <v>#VALUE!</v>
      </c>
    </row>
    <row r="46" spans="1:2" x14ac:dyDescent="0.3">
      <c r="A46" s="2" t="e">
        <f>_xlfn.WEBSERVICE("viacep.com.br/ws/"&amp;PJ!$E13&amp;"/xml/")</f>
        <v>#VALUE!</v>
      </c>
      <c r="B46" s="2" t="e">
        <f>_xlfn.WEBSERVICE("viacep.com.br/ws/"&amp;PF!$I25&amp;"/xml/")</f>
        <v>#VALUE!</v>
      </c>
    </row>
    <row r="47" spans="1:2" x14ac:dyDescent="0.3">
      <c r="A47" s="2" t="e">
        <f>_xlfn.WEBSERVICE("viacep.com.br/ws/"&amp;PJ!$E14&amp;"/xml/")</f>
        <v>#VALUE!</v>
      </c>
      <c r="B47" s="2" t="e">
        <f>_xlfn.WEBSERVICE("viacep.com.br/ws/"&amp;PF!$I26&amp;"/xml/")</f>
        <v>#VALUE!</v>
      </c>
    </row>
    <row r="48" spans="1:2" x14ac:dyDescent="0.3">
      <c r="A48" s="2" t="e">
        <f>_xlfn.WEBSERVICE("viacep.com.br/ws/"&amp;PJ!$E15&amp;"/xml/")</f>
        <v>#VALUE!</v>
      </c>
      <c r="B48" s="2" t="e">
        <f>_xlfn.WEBSERVICE("viacep.com.br/ws/"&amp;PF!$I27&amp;"/xml/")</f>
        <v>#VALUE!</v>
      </c>
    </row>
    <row r="49" spans="1:2" x14ac:dyDescent="0.3">
      <c r="A49" s="2" t="e">
        <f>_xlfn.WEBSERVICE("viacep.com.br/ws/"&amp;PJ!$E16&amp;"/xml/")</f>
        <v>#VALUE!</v>
      </c>
      <c r="B49" s="2" t="e">
        <f>_xlfn.WEBSERVICE("viacep.com.br/ws/"&amp;PF!$I28&amp;"/xml/")</f>
        <v>#VALUE!</v>
      </c>
    </row>
    <row r="50" spans="1:2" x14ac:dyDescent="0.3">
      <c r="A50" s="2" t="e">
        <f>_xlfn.WEBSERVICE("viacep.com.br/ws/"&amp;PJ!$E17&amp;"/xml/")</f>
        <v>#VALUE!</v>
      </c>
      <c r="B50" s="2" t="e">
        <f>_xlfn.WEBSERVICE("viacep.com.br/ws/"&amp;PF!$I29&amp;"/xml/")</f>
        <v>#VALUE!</v>
      </c>
    </row>
    <row r="51" spans="1:2" x14ac:dyDescent="0.3">
      <c r="A51" s="2" t="e">
        <f>_xlfn.WEBSERVICE("viacep.com.br/ws/"&amp;PJ!$E18&amp;"/xml/")</f>
        <v>#VALUE!</v>
      </c>
      <c r="B51" s="2" t="e">
        <f>_xlfn.WEBSERVICE("viacep.com.br/ws/"&amp;PF!$I30&amp;"/xml/")</f>
        <v>#VALUE!</v>
      </c>
    </row>
    <row r="52" spans="1:2" x14ac:dyDescent="0.3">
      <c r="A52" s="2" t="e">
        <f>_xlfn.WEBSERVICE("viacep.com.br/ws/"&amp;PJ!$E19&amp;"/xml/")</f>
        <v>#VALUE!</v>
      </c>
      <c r="B52" s="2" t="e">
        <f>_xlfn.WEBSERVICE("viacep.com.br/ws/"&amp;PF!$I31&amp;"/xml/")</f>
        <v>#VALUE!</v>
      </c>
    </row>
    <row r="53" spans="1:2" x14ac:dyDescent="0.3">
      <c r="A53" s="2" t="e">
        <f>_xlfn.WEBSERVICE("viacep.com.br/ws/"&amp;PJ!$E20&amp;"/xml/")</f>
        <v>#VALUE!</v>
      </c>
      <c r="B53" s="2" t="e">
        <f>_xlfn.WEBSERVICE("viacep.com.br/ws/"&amp;PF!$I32&amp;"/xml/")</f>
        <v>#VALUE!</v>
      </c>
    </row>
    <row r="54" spans="1:2" x14ac:dyDescent="0.3">
      <c r="A54" s="2" t="e">
        <f>_xlfn.WEBSERVICE("viacep.com.br/ws/"&amp;PJ!$E21&amp;"/xml/")</f>
        <v>#VALUE!</v>
      </c>
      <c r="B54" s="2" t="e">
        <f>_xlfn.WEBSERVICE("viacep.com.br/ws/"&amp;PF!$I33&amp;"/xml/")</f>
        <v>#VALUE!</v>
      </c>
    </row>
    <row r="55" spans="1:2" x14ac:dyDescent="0.3">
      <c r="A55" s="2" t="e">
        <f>_xlfn.WEBSERVICE("viacep.com.br/ws/"&amp;PJ!$E22&amp;"/xml/")</f>
        <v>#VALUE!</v>
      </c>
      <c r="B55" s="2" t="e">
        <f>_xlfn.WEBSERVICE("viacep.com.br/ws/"&amp;PF!$I34&amp;"/xml/")</f>
        <v>#VALUE!</v>
      </c>
    </row>
    <row r="56" spans="1:2" x14ac:dyDescent="0.3">
      <c r="A56" s="2" t="e">
        <f>_xlfn.WEBSERVICE("viacep.com.br/ws/"&amp;PJ!$E23&amp;"/xml/")</f>
        <v>#VALUE!</v>
      </c>
      <c r="B56" s="2" t="e">
        <f>_xlfn.WEBSERVICE("viacep.com.br/ws/"&amp;PF!$I35&amp;"/xml/")</f>
        <v>#VALUE!</v>
      </c>
    </row>
    <row r="57" spans="1:2" x14ac:dyDescent="0.3">
      <c r="A57" s="2" t="e">
        <f>_xlfn.WEBSERVICE("viacep.com.br/ws/"&amp;PJ!$E24&amp;"/xml/")</f>
        <v>#VALUE!</v>
      </c>
      <c r="B57" s="2" t="e">
        <f>_xlfn.WEBSERVICE("viacep.com.br/ws/"&amp;PF!$I36&amp;"/xml/")</f>
        <v>#VALUE!</v>
      </c>
    </row>
    <row r="58" spans="1:2" x14ac:dyDescent="0.3">
      <c r="A58" s="2" t="e">
        <f>_xlfn.WEBSERVICE("viacep.com.br/ws/"&amp;PJ!$E25&amp;"/xml/")</f>
        <v>#VALUE!</v>
      </c>
      <c r="B58" s="2" t="e">
        <f>_xlfn.WEBSERVICE("viacep.com.br/ws/"&amp;PF!$I37&amp;"/xml/")</f>
        <v>#VALUE!</v>
      </c>
    </row>
    <row r="59" spans="1:2" x14ac:dyDescent="0.3">
      <c r="A59" s="2" t="e">
        <f>_xlfn.WEBSERVICE("viacep.com.br/ws/"&amp;PJ!$E26&amp;"/xml/")</f>
        <v>#VALUE!</v>
      </c>
      <c r="B59" s="2" t="e">
        <f>_xlfn.WEBSERVICE("viacep.com.br/ws/"&amp;PF!$I38&amp;"/xml/")</f>
        <v>#VALUE!</v>
      </c>
    </row>
    <row r="60" spans="1:2" x14ac:dyDescent="0.3">
      <c r="A60" s="2" t="e">
        <f>_xlfn.WEBSERVICE("viacep.com.br/ws/"&amp;PJ!$E27&amp;"/xml/")</f>
        <v>#VALUE!</v>
      </c>
      <c r="B60" s="2" t="e">
        <f>_xlfn.WEBSERVICE("viacep.com.br/ws/"&amp;PF!$I39&amp;"/xml/")</f>
        <v>#VALUE!</v>
      </c>
    </row>
    <row r="61" spans="1:2" x14ac:dyDescent="0.3">
      <c r="A61" s="2" t="e">
        <f>_xlfn.WEBSERVICE("viacep.com.br/ws/"&amp;PJ!$E28&amp;"/xml/")</f>
        <v>#VALUE!</v>
      </c>
      <c r="B61" s="2" t="e">
        <f>_xlfn.WEBSERVICE("viacep.com.br/ws/"&amp;PF!$I40&amp;"/xml/")</f>
        <v>#VALUE!</v>
      </c>
    </row>
    <row r="62" spans="1:2" x14ac:dyDescent="0.3">
      <c r="A62" s="2" t="e">
        <f>_xlfn.WEBSERVICE("viacep.com.br/ws/"&amp;PJ!$E29&amp;"/xml/")</f>
        <v>#VALUE!</v>
      </c>
      <c r="B62" s="2" t="e">
        <f>_xlfn.WEBSERVICE("viacep.com.br/ws/"&amp;PF!$I41&amp;"/xml/")</f>
        <v>#VALUE!</v>
      </c>
    </row>
    <row r="63" spans="1:2" x14ac:dyDescent="0.3">
      <c r="A63" s="2" t="e">
        <f>_xlfn.WEBSERVICE("viacep.com.br/ws/"&amp;PJ!$E30&amp;"/xml/")</f>
        <v>#VALUE!</v>
      </c>
      <c r="B63" s="2" t="e">
        <f>_xlfn.WEBSERVICE("viacep.com.br/ws/"&amp;PF!$I42&amp;"/xml/")</f>
        <v>#VALUE!</v>
      </c>
    </row>
    <row r="64" spans="1:2" x14ac:dyDescent="0.3">
      <c r="A64" s="2" t="e">
        <f>_xlfn.WEBSERVICE("viacep.com.br/ws/"&amp;PJ!$E31&amp;"/xml/")</f>
        <v>#VALUE!</v>
      </c>
      <c r="B64" s="2" t="e">
        <f>_xlfn.WEBSERVICE("viacep.com.br/ws/"&amp;PF!$I43&amp;"/xml/")</f>
        <v>#VALUE!</v>
      </c>
    </row>
    <row r="65" spans="1:2" x14ac:dyDescent="0.3">
      <c r="A65" s="2" t="e">
        <f>_xlfn.WEBSERVICE("viacep.com.br/ws/"&amp;PJ!$E32&amp;"/xml/")</f>
        <v>#VALUE!</v>
      </c>
      <c r="B65" s="2" t="e">
        <f>_xlfn.WEBSERVICE("viacep.com.br/ws/"&amp;PF!$I44&amp;"/xml/")</f>
        <v>#VALUE!</v>
      </c>
    </row>
    <row r="66" spans="1:2" x14ac:dyDescent="0.3">
      <c r="A66" s="2" t="e">
        <f>_xlfn.WEBSERVICE("viacep.com.br/ws/"&amp;PJ!$E33&amp;"/xml/")</f>
        <v>#VALUE!</v>
      </c>
      <c r="B66" s="2" t="e">
        <f>_xlfn.WEBSERVICE("viacep.com.br/ws/"&amp;PF!$I45&amp;"/xml/")</f>
        <v>#VALUE!</v>
      </c>
    </row>
    <row r="67" spans="1:2" x14ac:dyDescent="0.3">
      <c r="A67" s="2" t="e">
        <f>_xlfn.WEBSERVICE("viacep.com.br/ws/"&amp;PJ!$E34&amp;"/xml/")</f>
        <v>#VALUE!</v>
      </c>
      <c r="B67" s="2" t="e">
        <f>_xlfn.WEBSERVICE("viacep.com.br/ws/"&amp;PF!$I46&amp;"/xml/")</f>
        <v>#VALUE!</v>
      </c>
    </row>
    <row r="68" spans="1:2" x14ac:dyDescent="0.3">
      <c r="A68" s="2" t="e">
        <f>_xlfn.WEBSERVICE("viacep.com.br/ws/"&amp;PJ!$E35&amp;"/xml/")</f>
        <v>#VALUE!</v>
      </c>
      <c r="B68" s="2" t="e">
        <f>_xlfn.WEBSERVICE("viacep.com.br/ws/"&amp;PF!$I47&amp;"/xml/")</f>
        <v>#VALUE!</v>
      </c>
    </row>
    <row r="69" spans="1:2" x14ac:dyDescent="0.3">
      <c r="A69" s="2" t="e">
        <f>_xlfn.WEBSERVICE("viacep.com.br/ws/"&amp;PJ!$E36&amp;"/xml/")</f>
        <v>#VALUE!</v>
      </c>
      <c r="B69" s="2" t="e">
        <f>_xlfn.WEBSERVICE("viacep.com.br/ws/"&amp;PF!$I48&amp;"/xml/")</f>
        <v>#VALUE!</v>
      </c>
    </row>
    <row r="70" spans="1:2" x14ac:dyDescent="0.3">
      <c r="A70" s="2" t="e">
        <f>_xlfn.WEBSERVICE("viacep.com.br/ws/"&amp;PJ!$E37&amp;"/xml/")</f>
        <v>#VALUE!</v>
      </c>
      <c r="B70" s="2" t="e">
        <f>_xlfn.WEBSERVICE("viacep.com.br/ws/"&amp;PF!$I49&amp;"/xml/")</f>
        <v>#VALUE!</v>
      </c>
    </row>
    <row r="71" spans="1:2" x14ac:dyDescent="0.3">
      <c r="A71" s="2" t="e">
        <f>_xlfn.WEBSERVICE("viacep.com.br/ws/"&amp;PJ!$E38&amp;"/xml/")</f>
        <v>#VALUE!</v>
      </c>
      <c r="B71" s="2" t="e">
        <f>_xlfn.WEBSERVICE("viacep.com.br/ws/"&amp;PF!$I50&amp;"/xml/")</f>
        <v>#VALUE!</v>
      </c>
    </row>
    <row r="72" spans="1:2" x14ac:dyDescent="0.3">
      <c r="A72" s="2" t="e">
        <f>_xlfn.WEBSERVICE("viacep.com.br/ws/"&amp;PJ!$E39&amp;"/xml/")</f>
        <v>#VALUE!</v>
      </c>
      <c r="B72" s="2" t="e">
        <f>_xlfn.WEBSERVICE("viacep.com.br/ws/"&amp;PF!$I51&amp;"/xml/")</f>
        <v>#VALUE!</v>
      </c>
    </row>
    <row r="73" spans="1:2" x14ac:dyDescent="0.3">
      <c r="A73" s="2" t="e">
        <f>_xlfn.WEBSERVICE("viacep.com.br/ws/"&amp;PJ!$E40&amp;"/xml/")</f>
        <v>#VALUE!</v>
      </c>
      <c r="B73" s="2" t="e">
        <f>_xlfn.WEBSERVICE("viacep.com.br/ws/"&amp;PF!$I52&amp;"/xml/")</f>
        <v>#VALUE!</v>
      </c>
    </row>
    <row r="74" spans="1:2" x14ac:dyDescent="0.3">
      <c r="A74" s="2" t="e">
        <f>_xlfn.WEBSERVICE("viacep.com.br/ws/"&amp;PJ!$E41&amp;"/xml/")</f>
        <v>#VALUE!</v>
      </c>
      <c r="B74" s="2" t="e">
        <f>_xlfn.WEBSERVICE("viacep.com.br/ws/"&amp;PF!$I53&amp;"/xml/")</f>
        <v>#VALUE!</v>
      </c>
    </row>
    <row r="75" spans="1:2" x14ac:dyDescent="0.3">
      <c r="A75" s="2" t="e">
        <f>_xlfn.WEBSERVICE("viacep.com.br/ws/"&amp;PJ!$E42&amp;"/xml/")</f>
        <v>#VALUE!</v>
      </c>
      <c r="B75" s="2" t="e">
        <f>_xlfn.WEBSERVICE("viacep.com.br/ws/"&amp;PF!$I54&amp;"/xml/")</f>
        <v>#VALUE!</v>
      </c>
    </row>
    <row r="76" spans="1:2" x14ac:dyDescent="0.3">
      <c r="A76" s="2" t="e">
        <f>_xlfn.WEBSERVICE("viacep.com.br/ws/"&amp;PJ!$E43&amp;"/xml/")</f>
        <v>#VALUE!</v>
      </c>
      <c r="B76" s="2" t="e">
        <f>_xlfn.WEBSERVICE("viacep.com.br/ws/"&amp;PF!$I55&amp;"/xml/")</f>
        <v>#VALUE!</v>
      </c>
    </row>
    <row r="77" spans="1:2" x14ac:dyDescent="0.3">
      <c r="A77" s="2" t="e">
        <f>_xlfn.WEBSERVICE("viacep.com.br/ws/"&amp;PJ!$E44&amp;"/xml/")</f>
        <v>#VALUE!</v>
      </c>
      <c r="B77" s="2" t="e">
        <f>_xlfn.WEBSERVICE("viacep.com.br/ws/"&amp;PF!$I56&amp;"/xml/")</f>
        <v>#VALUE!</v>
      </c>
    </row>
    <row r="78" spans="1:2" x14ac:dyDescent="0.3">
      <c r="A78" s="2" t="e">
        <f>_xlfn.WEBSERVICE("viacep.com.br/ws/"&amp;PJ!$E45&amp;"/xml/")</f>
        <v>#VALUE!</v>
      </c>
      <c r="B78" s="2" t="e">
        <f>_xlfn.WEBSERVICE("viacep.com.br/ws/"&amp;PF!$I57&amp;"/xml/")</f>
        <v>#VALUE!</v>
      </c>
    </row>
    <row r="79" spans="1:2" x14ac:dyDescent="0.3">
      <c r="A79" s="2" t="e">
        <f>_xlfn.WEBSERVICE("viacep.com.br/ws/"&amp;PJ!$E46&amp;"/xml/")</f>
        <v>#VALUE!</v>
      </c>
      <c r="B79" s="2" t="e">
        <f>_xlfn.WEBSERVICE("viacep.com.br/ws/"&amp;PF!$I58&amp;"/xml/")</f>
        <v>#VALUE!</v>
      </c>
    </row>
    <row r="80" spans="1:2" x14ac:dyDescent="0.3">
      <c r="A80" s="2" t="e">
        <f>_xlfn.WEBSERVICE("viacep.com.br/ws/"&amp;PJ!$E47&amp;"/xml/")</f>
        <v>#VALUE!</v>
      </c>
      <c r="B80" s="2" t="e">
        <f>_xlfn.WEBSERVICE("viacep.com.br/ws/"&amp;PF!$I59&amp;"/xml/")</f>
        <v>#VALUE!</v>
      </c>
    </row>
    <row r="81" spans="1:2" x14ac:dyDescent="0.3">
      <c r="A81" s="2" t="e">
        <f>_xlfn.WEBSERVICE("viacep.com.br/ws/"&amp;PJ!$E48&amp;"/xml/")</f>
        <v>#VALUE!</v>
      </c>
      <c r="B81" s="2" t="e">
        <f>_xlfn.WEBSERVICE("viacep.com.br/ws/"&amp;PF!$I60&amp;"/xml/")</f>
        <v>#VALUE!</v>
      </c>
    </row>
    <row r="82" spans="1:2" x14ac:dyDescent="0.3">
      <c r="A82" s="2" t="e">
        <f>_xlfn.WEBSERVICE("viacep.com.br/ws/"&amp;PJ!$E49&amp;"/xml/")</f>
        <v>#VALUE!</v>
      </c>
      <c r="B82" s="2" t="e">
        <f>_xlfn.WEBSERVICE("viacep.com.br/ws/"&amp;PF!$I61&amp;"/xml/")</f>
        <v>#VALUE!</v>
      </c>
    </row>
    <row r="83" spans="1:2" x14ac:dyDescent="0.3">
      <c r="A83" s="2" t="e">
        <f>_xlfn.WEBSERVICE("viacep.com.br/ws/"&amp;PJ!$E50&amp;"/xml/")</f>
        <v>#VALUE!</v>
      </c>
      <c r="B83" s="2" t="e">
        <f>_xlfn.WEBSERVICE("viacep.com.br/ws/"&amp;PF!$I62&amp;"/xml/")</f>
        <v>#VALUE!</v>
      </c>
    </row>
    <row r="84" spans="1:2" x14ac:dyDescent="0.3">
      <c r="A84" s="2" t="e">
        <f>_xlfn.WEBSERVICE("viacep.com.br/ws/"&amp;PJ!$E51&amp;"/xml/")</f>
        <v>#VALUE!</v>
      </c>
      <c r="B84" s="2" t="e">
        <f>_xlfn.WEBSERVICE("viacep.com.br/ws/"&amp;PF!$I63&amp;"/xml/")</f>
        <v>#VALUE!</v>
      </c>
    </row>
    <row r="85" spans="1:2" x14ac:dyDescent="0.3">
      <c r="A85" s="2" t="e">
        <f>_xlfn.WEBSERVICE("viacep.com.br/ws/"&amp;PJ!$E52&amp;"/xml/")</f>
        <v>#VALUE!</v>
      </c>
      <c r="B85" s="2" t="e">
        <f>_xlfn.WEBSERVICE("viacep.com.br/ws/"&amp;PF!$I64&amp;"/xml/")</f>
        <v>#VALUE!</v>
      </c>
    </row>
    <row r="86" spans="1:2" x14ac:dyDescent="0.3">
      <c r="A86" s="2" t="e">
        <f>_xlfn.WEBSERVICE("viacep.com.br/ws/"&amp;PJ!$E53&amp;"/xml/")</f>
        <v>#VALUE!</v>
      </c>
      <c r="B86" s="2" t="e">
        <f>_xlfn.WEBSERVICE("viacep.com.br/ws/"&amp;PF!$I65&amp;"/xml/")</f>
        <v>#VALUE!</v>
      </c>
    </row>
    <row r="87" spans="1:2" x14ac:dyDescent="0.3">
      <c r="A87" s="2" t="e">
        <f>_xlfn.WEBSERVICE("viacep.com.br/ws/"&amp;PJ!$E54&amp;"/xml/")</f>
        <v>#VALUE!</v>
      </c>
      <c r="B87" s="2" t="e">
        <f>_xlfn.WEBSERVICE("viacep.com.br/ws/"&amp;PF!$I66&amp;"/xml/")</f>
        <v>#VALUE!</v>
      </c>
    </row>
    <row r="88" spans="1:2" x14ac:dyDescent="0.3">
      <c r="A88" s="2" t="e">
        <f>_xlfn.WEBSERVICE("viacep.com.br/ws/"&amp;PJ!$E55&amp;"/xml/")</f>
        <v>#VALUE!</v>
      </c>
      <c r="B88" s="2" t="e">
        <f>_xlfn.WEBSERVICE("viacep.com.br/ws/"&amp;PF!$I67&amp;"/xml/")</f>
        <v>#VALUE!</v>
      </c>
    </row>
    <row r="89" spans="1:2" x14ac:dyDescent="0.3">
      <c r="A89" s="2" t="e">
        <f>_xlfn.WEBSERVICE("viacep.com.br/ws/"&amp;PJ!$E56&amp;"/xml/")</f>
        <v>#VALUE!</v>
      </c>
      <c r="B89" s="2" t="e">
        <f>_xlfn.WEBSERVICE("viacep.com.br/ws/"&amp;PF!$I68&amp;"/xml/")</f>
        <v>#VALUE!</v>
      </c>
    </row>
    <row r="90" spans="1:2" x14ac:dyDescent="0.3">
      <c r="A90" s="2" t="e">
        <f>_xlfn.WEBSERVICE("viacep.com.br/ws/"&amp;PJ!$E57&amp;"/xml/")</f>
        <v>#VALUE!</v>
      </c>
      <c r="B90" s="2" t="e">
        <f>_xlfn.WEBSERVICE("viacep.com.br/ws/"&amp;PF!$I69&amp;"/xml/")</f>
        <v>#VALUE!</v>
      </c>
    </row>
    <row r="91" spans="1:2" x14ac:dyDescent="0.3">
      <c r="A91" s="2" t="e">
        <f>_xlfn.WEBSERVICE("viacep.com.br/ws/"&amp;PJ!$E58&amp;"/xml/")</f>
        <v>#VALUE!</v>
      </c>
      <c r="B91" s="2" t="e">
        <f>_xlfn.WEBSERVICE("viacep.com.br/ws/"&amp;PF!$I70&amp;"/xml/")</f>
        <v>#VALUE!</v>
      </c>
    </row>
    <row r="92" spans="1:2" x14ac:dyDescent="0.3">
      <c r="A92" s="2" t="e">
        <f>_xlfn.WEBSERVICE("viacep.com.br/ws/"&amp;PJ!$E59&amp;"/xml/")</f>
        <v>#VALUE!</v>
      </c>
      <c r="B92" s="2" t="e">
        <f>_xlfn.WEBSERVICE("viacep.com.br/ws/"&amp;PF!$I71&amp;"/xml/")</f>
        <v>#VALUE!</v>
      </c>
    </row>
    <row r="93" spans="1:2" x14ac:dyDescent="0.3">
      <c r="A93" s="2" t="e">
        <f>_xlfn.WEBSERVICE("viacep.com.br/ws/"&amp;PJ!$E60&amp;"/xml/")</f>
        <v>#VALUE!</v>
      </c>
      <c r="B93" s="2" t="e">
        <f>_xlfn.WEBSERVICE("viacep.com.br/ws/"&amp;PF!$I72&amp;"/xml/")</f>
        <v>#VALUE!</v>
      </c>
    </row>
    <row r="94" spans="1:2" x14ac:dyDescent="0.3">
      <c r="A94" s="2" t="e">
        <f>_xlfn.WEBSERVICE("viacep.com.br/ws/"&amp;PJ!$E61&amp;"/xml/")</f>
        <v>#VALUE!</v>
      </c>
      <c r="B94" s="2" t="e">
        <f>_xlfn.WEBSERVICE("viacep.com.br/ws/"&amp;PF!$I73&amp;"/xml/")</f>
        <v>#VALUE!</v>
      </c>
    </row>
    <row r="95" spans="1:2" x14ac:dyDescent="0.3">
      <c r="A95" s="2" t="e">
        <f>_xlfn.WEBSERVICE("viacep.com.br/ws/"&amp;PJ!$E62&amp;"/xml/")</f>
        <v>#VALUE!</v>
      </c>
      <c r="B95" s="2" t="e">
        <f>_xlfn.WEBSERVICE("viacep.com.br/ws/"&amp;PF!$I74&amp;"/xml/")</f>
        <v>#VALUE!</v>
      </c>
    </row>
    <row r="96" spans="1:2" x14ac:dyDescent="0.3">
      <c r="A96" s="2" t="e">
        <f>_xlfn.WEBSERVICE("viacep.com.br/ws/"&amp;PJ!$E63&amp;"/xml/")</f>
        <v>#VALUE!</v>
      </c>
      <c r="B96" s="2" t="e">
        <f>_xlfn.WEBSERVICE("viacep.com.br/ws/"&amp;PF!$I75&amp;"/xml/")</f>
        <v>#VALUE!</v>
      </c>
    </row>
    <row r="97" spans="1:2" x14ac:dyDescent="0.3">
      <c r="A97" s="2" t="e">
        <f>_xlfn.WEBSERVICE("viacep.com.br/ws/"&amp;PJ!$E64&amp;"/xml/")</f>
        <v>#VALUE!</v>
      </c>
      <c r="B97" s="2" t="e">
        <f>_xlfn.WEBSERVICE("viacep.com.br/ws/"&amp;PF!$I76&amp;"/xml/")</f>
        <v>#VALUE!</v>
      </c>
    </row>
    <row r="98" spans="1:2" x14ac:dyDescent="0.3">
      <c r="A98" s="2" t="e">
        <f>_xlfn.WEBSERVICE("viacep.com.br/ws/"&amp;PJ!$E65&amp;"/xml/")</f>
        <v>#VALUE!</v>
      </c>
      <c r="B98" s="2" t="e">
        <f>_xlfn.WEBSERVICE("viacep.com.br/ws/"&amp;PF!$I77&amp;"/xml/")</f>
        <v>#VALUE!</v>
      </c>
    </row>
    <row r="99" spans="1:2" x14ac:dyDescent="0.3">
      <c r="A99" s="2" t="e">
        <f>_xlfn.WEBSERVICE("viacep.com.br/ws/"&amp;PJ!$E66&amp;"/xml/")</f>
        <v>#VALUE!</v>
      </c>
      <c r="B99" s="2" t="e">
        <f>_xlfn.WEBSERVICE("viacep.com.br/ws/"&amp;PF!$I78&amp;"/xml/")</f>
        <v>#VALUE!</v>
      </c>
    </row>
    <row r="100" spans="1:2" x14ac:dyDescent="0.3">
      <c r="A100" s="2" t="e">
        <f>_xlfn.WEBSERVICE("viacep.com.br/ws/"&amp;PJ!$E67&amp;"/xml/")</f>
        <v>#VALUE!</v>
      </c>
      <c r="B100" s="2" t="e">
        <f>_xlfn.WEBSERVICE("viacep.com.br/ws/"&amp;PF!$I79&amp;"/xml/")</f>
        <v>#VALUE!</v>
      </c>
    </row>
    <row r="101" spans="1:2" x14ac:dyDescent="0.3">
      <c r="A101" s="2" t="e">
        <f>_xlfn.WEBSERVICE("viacep.com.br/ws/"&amp;PJ!$E68&amp;"/xml/")</f>
        <v>#VALUE!</v>
      </c>
      <c r="B101" s="2" t="e">
        <f>_xlfn.WEBSERVICE("viacep.com.br/ws/"&amp;PF!$I80&amp;"/xml/")</f>
        <v>#VALUE!</v>
      </c>
    </row>
    <row r="102" spans="1:2" x14ac:dyDescent="0.3">
      <c r="A102" s="2" t="e">
        <f>_xlfn.WEBSERVICE("viacep.com.br/ws/"&amp;PJ!$E69&amp;"/xml/")</f>
        <v>#VALUE!</v>
      </c>
      <c r="B102" s="2" t="e">
        <f>_xlfn.WEBSERVICE("viacep.com.br/ws/"&amp;PF!$I81&amp;"/xml/")</f>
        <v>#VALUE!</v>
      </c>
    </row>
    <row r="103" spans="1:2" x14ac:dyDescent="0.3">
      <c r="A103" s="2" t="e">
        <f>_xlfn.WEBSERVICE("viacep.com.br/ws/"&amp;PJ!$E70&amp;"/xml/")</f>
        <v>#VALUE!</v>
      </c>
      <c r="B103" s="2" t="e">
        <f>_xlfn.WEBSERVICE("viacep.com.br/ws/"&amp;PF!$I82&amp;"/xml/")</f>
        <v>#VALUE!</v>
      </c>
    </row>
    <row r="104" spans="1:2" x14ac:dyDescent="0.3">
      <c r="A104" s="2" t="e">
        <f>_xlfn.WEBSERVICE("viacep.com.br/ws/"&amp;PJ!$E71&amp;"/xml/")</f>
        <v>#VALUE!</v>
      </c>
      <c r="B104" s="2" t="e">
        <f>_xlfn.WEBSERVICE("viacep.com.br/ws/"&amp;PF!$I83&amp;"/xml/")</f>
        <v>#VALUE!</v>
      </c>
    </row>
    <row r="105" spans="1:2" x14ac:dyDescent="0.3">
      <c r="A105" s="2" t="e">
        <f>_xlfn.WEBSERVICE("viacep.com.br/ws/"&amp;PJ!$E72&amp;"/xml/")</f>
        <v>#VALUE!</v>
      </c>
      <c r="B105" s="2" t="e">
        <f>_xlfn.WEBSERVICE("viacep.com.br/ws/"&amp;PF!$I84&amp;"/xml/")</f>
        <v>#VALUE!</v>
      </c>
    </row>
    <row r="106" spans="1:2" x14ac:dyDescent="0.3">
      <c r="A106" s="2" t="e">
        <f>_xlfn.WEBSERVICE("viacep.com.br/ws/"&amp;PJ!$E73&amp;"/xml/")</f>
        <v>#VALUE!</v>
      </c>
      <c r="B106" s="2" t="e">
        <f>_xlfn.WEBSERVICE("viacep.com.br/ws/"&amp;PF!$I85&amp;"/xml/")</f>
        <v>#VALUE!</v>
      </c>
    </row>
    <row r="107" spans="1:2" x14ac:dyDescent="0.3">
      <c r="A107" s="2" t="e">
        <f>_xlfn.WEBSERVICE("viacep.com.br/ws/"&amp;PJ!$E74&amp;"/xml/")</f>
        <v>#VALUE!</v>
      </c>
      <c r="B107" s="2" t="e">
        <f>_xlfn.WEBSERVICE("viacep.com.br/ws/"&amp;PF!$I86&amp;"/xml/")</f>
        <v>#VALUE!</v>
      </c>
    </row>
    <row r="108" spans="1:2" x14ac:dyDescent="0.3">
      <c r="A108" s="2" t="e">
        <f>_xlfn.WEBSERVICE("viacep.com.br/ws/"&amp;PJ!$E75&amp;"/xml/")</f>
        <v>#VALUE!</v>
      </c>
      <c r="B108" s="2" t="e">
        <f>_xlfn.WEBSERVICE("viacep.com.br/ws/"&amp;PF!$I87&amp;"/xml/")</f>
        <v>#VALUE!</v>
      </c>
    </row>
    <row r="109" spans="1:2" x14ac:dyDescent="0.3">
      <c r="A109" s="2" t="e">
        <f>_xlfn.WEBSERVICE("viacep.com.br/ws/"&amp;PJ!$E76&amp;"/xml/")</f>
        <v>#VALUE!</v>
      </c>
      <c r="B109" s="2" t="e">
        <f>_xlfn.WEBSERVICE("viacep.com.br/ws/"&amp;PF!$I88&amp;"/xml/")</f>
        <v>#VALUE!</v>
      </c>
    </row>
    <row r="110" spans="1:2" x14ac:dyDescent="0.3">
      <c r="A110" s="2" t="e">
        <f>_xlfn.WEBSERVICE("viacep.com.br/ws/"&amp;PJ!$E77&amp;"/xml/")</f>
        <v>#VALUE!</v>
      </c>
      <c r="B110" s="2" t="e">
        <f>_xlfn.WEBSERVICE("viacep.com.br/ws/"&amp;PF!$I89&amp;"/xml/")</f>
        <v>#VALUE!</v>
      </c>
    </row>
    <row r="111" spans="1:2" x14ac:dyDescent="0.3">
      <c r="A111" s="2" t="e">
        <f>_xlfn.WEBSERVICE("viacep.com.br/ws/"&amp;PJ!$E78&amp;"/xml/")</f>
        <v>#VALUE!</v>
      </c>
      <c r="B111" s="2" t="e">
        <f>_xlfn.WEBSERVICE("viacep.com.br/ws/"&amp;PF!$I90&amp;"/xml/")</f>
        <v>#VALUE!</v>
      </c>
    </row>
    <row r="112" spans="1:2" x14ac:dyDescent="0.3">
      <c r="A112" s="2" t="e">
        <f>_xlfn.WEBSERVICE("viacep.com.br/ws/"&amp;PJ!$E79&amp;"/xml/")</f>
        <v>#VALUE!</v>
      </c>
      <c r="B112" s="2" t="e">
        <f>_xlfn.WEBSERVICE("viacep.com.br/ws/"&amp;PF!$I91&amp;"/xml/")</f>
        <v>#VALUE!</v>
      </c>
    </row>
    <row r="113" spans="1:2" x14ac:dyDescent="0.3">
      <c r="A113" s="2" t="e">
        <f>_xlfn.WEBSERVICE("viacep.com.br/ws/"&amp;PJ!$E80&amp;"/xml/")</f>
        <v>#VALUE!</v>
      </c>
      <c r="B113" s="2" t="e">
        <f>_xlfn.WEBSERVICE("viacep.com.br/ws/"&amp;PF!$I92&amp;"/xml/")</f>
        <v>#VALUE!</v>
      </c>
    </row>
    <row r="114" spans="1:2" x14ac:dyDescent="0.3">
      <c r="A114" s="2" t="e">
        <f>_xlfn.WEBSERVICE("viacep.com.br/ws/"&amp;PJ!$E81&amp;"/xml/")</f>
        <v>#VALUE!</v>
      </c>
      <c r="B114" s="2" t="e">
        <f>_xlfn.WEBSERVICE("viacep.com.br/ws/"&amp;PF!$I93&amp;"/xml/")</f>
        <v>#VALUE!</v>
      </c>
    </row>
    <row r="115" spans="1:2" x14ac:dyDescent="0.3">
      <c r="A115" s="2" t="e">
        <f>_xlfn.WEBSERVICE("viacep.com.br/ws/"&amp;PJ!$E82&amp;"/xml/")</f>
        <v>#VALUE!</v>
      </c>
      <c r="B115" s="2" t="e">
        <f>_xlfn.WEBSERVICE("viacep.com.br/ws/"&amp;PF!$I94&amp;"/xml/")</f>
        <v>#VALUE!</v>
      </c>
    </row>
    <row r="116" spans="1:2" x14ac:dyDescent="0.3">
      <c r="A116" s="2" t="e">
        <f>_xlfn.WEBSERVICE("viacep.com.br/ws/"&amp;PJ!$E83&amp;"/xml/")</f>
        <v>#VALUE!</v>
      </c>
      <c r="B116" s="2" t="e">
        <f>_xlfn.WEBSERVICE("viacep.com.br/ws/"&amp;PF!$I95&amp;"/xml/")</f>
        <v>#VALUE!</v>
      </c>
    </row>
    <row r="117" spans="1:2" x14ac:dyDescent="0.3">
      <c r="A117" s="2" t="e">
        <f>_xlfn.WEBSERVICE("viacep.com.br/ws/"&amp;PJ!$E84&amp;"/xml/")</f>
        <v>#VALUE!</v>
      </c>
      <c r="B117" s="2" t="e">
        <f>_xlfn.WEBSERVICE("viacep.com.br/ws/"&amp;PF!$I96&amp;"/xml/")</f>
        <v>#VALUE!</v>
      </c>
    </row>
    <row r="118" spans="1:2" x14ac:dyDescent="0.3">
      <c r="A118" s="2" t="e">
        <f>_xlfn.WEBSERVICE("viacep.com.br/ws/"&amp;PJ!$E85&amp;"/xml/")</f>
        <v>#VALUE!</v>
      </c>
      <c r="B118" s="2" t="e">
        <f>_xlfn.WEBSERVICE("viacep.com.br/ws/"&amp;PF!$I97&amp;"/xml/")</f>
        <v>#VALUE!</v>
      </c>
    </row>
    <row r="119" spans="1:2" x14ac:dyDescent="0.3">
      <c r="A119" s="2" t="e">
        <f>_xlfn.WEBSERVICE("viacep.com.br/ws/"&amp;PJ!$E86&amp;"/xml/")</f>
        <v>#VALUE!</v>
      </c>
      <c r="B119" s="2" t="e">
        <f>_xlfn.WEBSERVICE("viacep.com.br/ws/"&amp;PF!$I98&amp;"/xml/")</f>
        <v>#VALUE!</v>
      </c>
    </row>
    <row r="120" spans="1:2" x14ac:dyDescent="0.3">
      <c r="A120" s="2" t="e">
        <f>_xlfn.WEBSERVICE("viacep.com.br/ws/"&amp;PJ!$E87&amp;"/xml/")</f>
        <v>#VALUE!</v>
      </c>
      <c r="B120" s="2" t="e">
        <f>_xlfn.WEBSERVICE("viacep.com.br/ws/"&amp;PF!$I99&amp;"/xml/")</f>
        <v>#VALUE!</v>
      </c>
    </row>
    <row r="121" spans="1:2" x14ac:dyDescent="0.3">
      <c r="A121" s="2" t="e">
        <f>_xlfn.WEBSERVICE("viacep.com.br/ws/"&amp;PJ!$E88&amp;"/xml/")</f>
        <v>#VALUE!</v>
      </c>
      <c r="B121" s="2" t="e">
        <f>_xlfn.WEBSERVICE("viacep.com.br/ws/"&amp;PF!$I100&amp;"/xml/")</f>
        <v>#VALUE!</v>
      </c>
    </row>
    <row r="122" spans="1:2" x14ac:dyDescent="0.3">
      <c r="A122" s="2" t="e">
        <f>_xlfn.WEBSERVICE("viacep.com.br/ws/"&amp;PJ!$E89&amp;"/xml/")</f>
        <v>#VALUE!</v>
      </c>
      <c r="B122" s="2" t="e">
        <f>_xlfn.WEBSERVICE("viacep.com.br/ws/"&amp;PF!$I101&amp;"/xml/")</f>
        <v>#VALUE!</v>
      </c>
    </row>
    <row r="123" spans="1:2" x14ac:dyDescent="0.3">
      <c r="A123" s="2" t="e">
        <f>_xlfn.WEBSERVICE("viacep.com.br/ws/"&amp;PJ!$E90&amp;"/xml/")</f>
        <v>#VALUE!</v>
      </c>
      <c r="B123" s="2" t="e">
        <f>_xlfn.WEBSERVICE("viacep.com.br/ws/"&amp;PF!$I102&amp;"/xml/")</f>
        <v>#VALUE!</v>
      </c>
    </row>
    <row r="124" spans="1:2" x14ac:dyDescent="0.3">
      <c r="A124" s="2" t="e">
        <f>_xlfn.WEBSERVICE("viacep.com.br/ws/"&amp;PJ!$E91&amp;"/xml/")</f>
        <v>#VALUE!</v>
      </c>
      <c r="B124" s="2" t="e">
        <f>_xlfn.WEBSERVICE("viacep.com.br/ws/"&amp;PF!$I103&amp;"/xml/")</f>
        <v>#VALUE!</v>
      </c>
    </row>
    <row r="125" spans="1:2" x14ac:dyDescent="0.3">
      <c r="A125" s="2" t="e">
        <f>_xlfn.WEBSERVICE("viacep.com.br/ws/"&amp;PJ!$E92&amp;"/xml/")</f>
        <v>#VALUE!</v>
      </c>
      <c r="B125" s="2" t="e">
        <f>_xlfn.WEBSERVICE("viacep.com.br/ws/"&amp;PF!$I104&amp;"/xml/")</f>
        <v>#VALUE!</v>
      </c>
    </row>
    <row r="126" spans="1:2" x14ac:dyDescent="0.3">
      <c r="A126" s="2" t="e">
        <f>_xlfn.WEBSERVICE("viacep.com.br/ws/"&amp;PJ!$E93&amp;"/xml/")</f>
        <v>#VALUE!</v>
      </c>
      <c r="B126" s="2" t="e">
        <f>_xlfn.WEBSERVICE("viacep.com.br/ws/"&amp;PF!$I105&amp;"/xml/")</f>
        <v>#VALUE!</v>
      </c>
    </row>
    <row r="127" spans="1:2" x14ac:dyDescent="0.3">
      <c r="A127" s="2" t="e">
        <f>_xlfn.WEBSERVICE("viacep.com.br/ws/"&amp;PJ!$E94&amp;"/xml/")</f>
        <v>#VALUE!</v>
      </c>
      <c r="B127" s="2" t="e">
        <f>_xlfn.WEBSERVICE("viacep.com.br/ws/"&amp;PF!$I106&amp;"/xml/")</f>
        <v>#VALUE!</v>
      </c>
    </row>
    <row r="128" spans="1:2" x14ac:dyDescent="0.3">
      <c r="A128" s="2" t="e">
        <f>_xlfn.WEBSERVICE("viacep.com.br/ws/"&amp;PJ!$E95&amp;"/xml/")</f>
        <v>#VALUE!</v>
      </c>
      <c r="B128" s="2" t="e">
        <f>_xlfn.WEBSERVICE("viacep.com.br/ws/"&amp;PF!$I107&amp;"/xml/")</f>
        <v>#VALUE!</v>
      </c>
    </row>
    <row r="129" spans="1:2" x14ac:dyDescent="0.3">
      <c r="A129" s="2" t="e">
        <f>_xlfn.WEBSERVICE("viacep.com.br/ws/"&amp;PJ!$E96&amp;"/xml/")</f>
        <v>#VALUE!</v>
      </c>
      <c r="B129" s="2" t="e">
        <f>_xlfn.WEBSERVICE("viacep.com.br/ws/"&amp;PF!$I108&amp;"/xml/")</f>
        <v>#VALUE!</v>
      </c>
    </row>
    <row r="130" spans="1:2" x14ac:dyDescent="0.3">
      <c r="A130" s="2" t="e">
        <f>_xlfn.WEBSERVICE("viacep.com.br/ws/"&amp;PJ!$E97&amp;"/xml/")</f>
        <v>#VALUE!</v>
      </c>
      <c r="B130" s="2" t="e">
        <f>_xlfn.WEBSERVICE("viacep.com.br/ws/"&amp;PF!$I109&amp;"/xml/")</f>
        <v>#VALUE!</v>
      </c>
    </row>
    <row r="131" spans="1:2" x14ac:dyDescent="0.3">
      <c r="A131" s="2" t="e">
        <f>_xlfn.WEBSERVICE("viacep.com.br/ws/"&amp;PJ!$E98&amp;"/xml/")</f>
        <v>#VALUE!</v>
      </c>
      <c r="B131" s="2" t="e">
        <f>_xlfn.WEBSERVICE("viacep.com.br/ws/"&amp;PF!$I110&amp;"/xml/")</f>
        <v>#VALUE!</v>
      </c>
    </row>
    <row r="132" spans="1:2" x14ac:dyDescent="0.3">
      <c r="A132" s="2" t="e">
        <f>_xlfn.WEBSERVICE("viacep.com.br/ws/"&amp;PJ!$E99&amp;"/xml/")</f>
        <v>#VALUE!</v>
      </c>
      <c r="B132" s="2" t="e">
        <f>_xlfn.WEBSERVICE("viacep.com.br/ws/"&amp;PF!$I111&amp;"/xml/")</f>
        <v>#VALUE!</v>
      </c>
    </row>
    <row r="133" spans="1:2" x14ac:dyDescent="0.3">
      <c r="A133" s="2" t="e">
        <f>_xlfn.WEBSERVICE("viacep.com.br/ws/"&amp;PJ!$E100&amp;"/xml/")</f>
        <v>#VALUE!</v>
      </c>
      <c r="B133" s="2" t="e">
        <f>_xlfn.WEBSERVICE("viacep.com.br/ws/"&amp;PF!$I112&amp;"/xml/")</f>
        <v>#VALUE!</v>
      </c>
    </row>
    <row r="134" spans="1:2" x14ac:dyDescent="0.3">
      <c r="A134" s="2" t="e">
        <f>_xlfn.WEBSERVICE("viacep.com.br/ws/"&amp;PJ!$E101&amp;"/xml/")</f>
        <v>#VALUE!</v>
      </c>
      <c r="B134" s="2" t="e">
        <f>_xlfn.WEBSERVICE("viacep.com.br/ws/"&amp;PF!$I113&amp;"/xml/")</f>
        <v>#VALUE!</v>
      </c>
    </row>
    <row r="135" spans="1:2" x14ac:dyDescent="0.3">
      <c r="A135" s="2" t="e">
        <f>_xlfn.WEBSERVICE("viacep.com.br/ws/"&amp;PJ!$E102&amp;"/xml/")</f>
        <v>#VALUE!</v>
      </c>
      <c r="B135" s="2" t="e">
        <f>_xlfn.WEBSERVICE("viacep.com.br/ws/"&amp;PF!$I114&amp;"/xml/")</f>
        <v>#VALUE!</v>
      </c>
    </row>
    <row r="136" spans="1:2" x14ac:dyDescent="0.3">
      <c r="A136" s="2" t="e">
        <f>_xlfn.WEBSERVICE("viacep.com.br/ws/"&amp;PJ!$E103&amp;"/xml/")</f>
        <v>#VALUE!</v>
      </c>
      <c r="B136" s="2" t="e">
        <f>_xlfn.WEBSERVICE("viacep.com.br/ws/"&amp;PF!$I115&amp;"/xml/")</f>
        <v>#VALUE!</v>
      </c>
    </row>
    <row r="137" spans="1:2" x14ac:dyDescent="0.3">
      <c r="A137" s="2" t="e">
        <f>_xlfn.WEBSERVICE("viacep.com.br/ws/"&amp;PJ!$E104&amp;"/xml/")</f>
        <v>#VALUE!</v>
      </c>
      <c r="B137" s="2" t="e">
        <f>_xlfn.WEBSERVICE("viacep.com.br/ws/"&amp;PF!$I116&amp;"/xml/")</f>
        <v>#VALUE!</v>
      </c>
    </row>
    <row r="138" spans="1:2" x14ac:dyDescent="0.3">
      <c r="A138" s="2" t="e">
        <f>_xlfn.WEBSERVICE("viacep.com.br/ws/"&amp;PJ!$E105&amp;"/xml/")</f>
        <v>#VALUE!</v>
      </c>
      <c r="B138" s="2" t="e">
        <f>_xlfn.WEBSERVICE("viacep.com.br/ws/"&amp;PF!$I117&amp;"/xml/")</f>
        <v>#VALUE!</v>
      </c>
    </row>
    <row r="139" spans="1:2" x14ac:dyDescent="0.3">
      <c r="A139" s="2" t="e">
        <f>_xlfn.WEBSERVICE("viacep.com.br/ws/"&amp;PJ!$E106&amp;"/xml/")</f>
        <v>#VALUE!</v>
      </c>
      <c r="B139" s="2" t="e">
        <f>_xlfn.WEBSERVICE("viacep.com.br/ws/"&amp;PF!$I118&amp;"/xml/")</f>
        <v>#VALUE!</v>
      </c>
    </row>
    <row r="140" spans="1:2" x14ac:dyDescent="0.3">
      <c r="A140" s="2" t="e">
        <f>_xlfn.WEBSERVICE("viacep.com.br/ws/"&amp;PJ!$E107&amp;"/xml/")</f>
        <v>#VALUE!</v>
      </c>
      <c r="B140" s="2" t="e">
        <f>_xlfn.WEBSERVICE("viacep.com.br/ws/"&amp;PF!$I119&amp;"/xml/")</f>
        <v>#VALUE!</v>
      </c>
    </row>
    <row r="141" spans="1:2" x14ac:dyDescent="0.3">
      <c r="A141" s="2" t="e">
        <f>_xlfn.WEBSERVICE("viacep.com.br/ws/"&amp;PJ!$E108&amp;"/xml/")</f>
        <v>#VALUE!</v>
      </c>
      <c r="B141" s="2" t="e">
        <f>_xlfn.WEBSERVICE("viacep.com.br/ws/"&amp;PF!$I120&amp;"/xml/")</f>
        <v>#VALUE!</v>
      </c>
    </row>
    <row r="142" spans="1:2" x14ac:dyDescent="0.3">
      <c r="A142" s="2" t="e">
        <f>_xlfn.WEBSERVICE("viacep.com.br/ws/"&amp;PJ!$E109&amp;"/xml/")</f>
        <v>#VALUE!</v>
      </c>
      <c r="B142" s="2" t="e">
        <f>_xlfn.WEBSERVICE("viacep.com.br/ws/"&amp;PF!$I121&amp;"/xml/")</f>
        <v>#VALUE!</v>
      </c>
    </row>
    <row r="143" spans="1:2" x14ac:dyDescent="0.3">
      <c r="A143" s="2" t="e">
        <f>_xlfn.WEBSERVICE("viacep.com.br/ws/"&amp;PJ!$E110&amp;"/xml/")</f>
        <v>#VALUE!</v>
      </c>
      <c r="B143" s="2" t="e">
        <f>_xlfn.WEBSERVICE("viacep.com.br/ws/"&amp;PF!$I122&amp;"/xml/")</f>
        <v>#VALUE!</v>
      </c>
    </row>
    <row r="144" spans="1:2" x14ac:dyDescent="0.3">
      <c r="A144" s="2" t="e">
        <f>_xlfn.WEBSERVICE("viacep.com.br/ws/"&amp;PJ!$E111&amp;"/xml/")</f>
        <v>#VALUE!</v>
      </c>
      <c r="B144" s="2" t="e">
        <f>_xlfn.WEBSERVICE("viacep.com.br/ws/"&amp;PF!$I123&amp;"/xml/")</f>
        <v>#VALUE!</v>
      </c>
    </row>
    <row r="145" spans="1:2" x14ac:dyDescent="0.3">
      <c r="A145" s="2" t="e">
        <f>_xlfn.WEBSERVICE("viacep.com.br/ws/"&amp;PJ!$E112&amp;"/xml/")</f>
        <v>#VALUE!</v>
      </c>
      <c r="B145" s="2" t="e">
        <f>_xlfn.WEBSERVICE("viacep.com.br/ws/"&amp;PF!$I124&amp;"/xml/")</f>
        <v>#VALUE!</v>
      </c>
    </row>
    <row r="146" spans="1:2" x14ac:dyDescent="0.3">
      <c r="A146" s="2" t="e">
        <f>_xlfn.WEBSERVICE("viacep.com.br/ws/"&amp;PJ!$E113&amp;"/xml/")</f>
        <v>#VALUE!</v>
      </c>
      <c r="B146" s="2" t="e">
        <f>_xlfn.WEBSERVICE("viacep.com.br/ws/"&amp;PF!$I125&amp;"/xml/")</f>
        <v>#VALUE!</v>
      </c>
    </row>
    <row r="147" spans="1:2" x14ac:dyDescent="0.3">
      <c r="A147" s="2" t="e">
        <f>_xlfn.WEBSERVICE("viacep.com.br/ws/"&amp;PJ!$E114&amp;"/xml/")</f>
        <v>#VALUE!</v>
      </c>
      <c r="B147" s="2" t="e">
        <f>_xlfn.WEBSERVICE("viacep.com.br/ws/"&amp;PF!$I126&amp;"/xml/")</f>
        <v>#VALUE!</v>
      </c>
    </row>
    <row r="148" spans="1:2" x14ac:dyDescent="0.3">
      <c r="A148" s="2" t="e">
        <f>_xlfn.WEBSERVICE("viacep.com.br/ws/"&amp;PJ!$E115&amp;"/xml/")</f>
        <v>#VALUE!</v>
      </c>
      <c r="B148" s="2" t="e">
        <f>_xlfn.WEBSERVICE("viacep.com.br/ws/"&amp;PF!$I127&amp;"/xml/")</f>
        <v>#VALUE!</v>
      </c>
    </row>
    <row r="149" spans="1:2" x14ac:dyDescent="0.3">
      <c r="A149" s="2" t="e">
        <f>_xlfn.WEBSERVICE("viacep.com.br/ws/"&amp;PJ!$E116&amp;"/xml/")</f>
        <v>#VALUE!</v>
      </c>
      <c r="B149" s="2" t="e">
        <f>_xlfn.WEBSERVICE("viacep.com.br/ws/"&amp;PF!$I128&amp;"/xml/")</f>
        <v>#VALUE!</v>
      </c>
    </row>
    <row r="150" spans="1:2" x14ac:dyDescent="0.3">
      <c r="A150" s="2" t="e">
        <f>_xlfn.WEBSERVICE("viacep.com.br/ws/"&amp;PJ!$E117&amp;"/xml/")</f>
        <v>#VALUE!</v>
      </c>
      <c r="B150" s="2" t="e">
        <f>_xlfn.WEBSERVICE("viacep.com.br/ws/"&amp;PF!$I129&amp;"/xml/")</f>
        <v>#VALUE!</v>
      </c>
    </row>
    <row r="151" spans="1:2" x14ac:dyDescent="0.3">
      <c r="A151" s="2" t="e">
        <f>_xlfn.WEBSERVICE("viacep.com.br/ws/"&amp;PJ!$E118&amp;"/xml/")</f>
        <v>#VALUE!</v>
      </c>
      <c r="B151" s="2" t="e">
        <f>_xlfn.WEBSERVICE("viacep.com.br/ws/"&amp;PF!$I130&amp;"/xml/")</f>
        <v>#VALUE!</v>
      </c>
    </row>
    <row r="152" spans="1:2" x14ac:dyDescent="0.3">
      <c r="A152" s="2" t="e">
        <f>_xlfn.WEBSERVICE("viacep.com.br/ws/"&amp;PJ!$E119&amp;"/xml/")</f>
        <v>#VALUE!</v>
      </c>
      <c r="B152" s="2" t="e">
        <f>_xlfn.WEBSERVICE("viacep.com.br/ws/"&amp;PF!$I131&amp;"/xml/")</f>
        <v>#VALUE!</v>
      </c>
    </row>
    <row r="153" spans="1:2" x14ac:dyDescent="0.3">
      <c r="A153" s="2" t="e">
        <f>_xlfn.WEBSERVICE("viacep.com.br/ws/"&amp;PJ!$E120&amp;"/xml/")</f>
        <v>#VALUE!</v>
      </c>
      <c r="B153" s="2" t="e">
        <f>_xlfn.WEBSERVICE("viacep.com.br/ws/"&amp;PF!$I132&amp;"/xml/")</f>
        <v>#VALUE!</v>
      </c>
    </row>
    <row r="154" spans="1:2" x14ac:dyDescent="0.3">
      <c r="A154" s="2" t="e">
        <f>_xlfn.WEBSERVICE("viacep.com.br/ws/"&amp;PJ!$E121&amp;"/xml/")</f>
        <v>#VALUE!</v>
      </c>
      <c r="B154" s="2" t="e">
        <f>_xlfn.WEBSERVICE("viacep.com.br/ws/"&amp;PF!$I133&amp;"/xml/")</f>
        <v>#VALUE!</v>
      </c>
    </row>
    <row r="155" spans="1:2" x14ac:dyDescent="0.3">
      <c r="A155" s="2" t="e">
        <f>_xlfn.WEBSERVICE("viacep.com.br/ws/"&amp;PJ!$E122&amp;"/xml/")</f>
        <v>#VALUE!</v>
      </c>
      <c r="B155" s="2" t="e">
        <f>_xlfn.WEBSERVICE("viacep.com.br/ws/"&amp;PF!$I134&amp;"/xml/")</f>
        <v>#VALUE!</v>
      </c>
    </row>
    <row r="156" spans="1:2" x14ac:dyDescent="0.3">
      <c r="A156" s="2" t="e">
        <f>_xlfn.WEBSERVICE("viacep.com.br/ws/"&amp;PJ!$E123&amp;"/xml/")</f>
        <v>#VALUE!</v>
      </c>
      <c r="B156" s="2" t="e">
        <f>_xlfn.WEBSERVICE("viacep.com.br/ws/"&amp;PF!$I135&amp;"/xml/")</f>
        <v>#VALUE!</v>
      </c>
    </row>
    <row r="157" spans="1:2" x14ac:dyDescent="0.3">
      <c r="A157" s="2" t="e">
        <f>_xlfn.WEBSERVICE("viacep.com.br/ws/"&amp;PJ!$E124&amp;"/xml/")</f>
        <v>#VALUE!</v>
      </c>
      <c r="B157" s="2" t="e">
        <f>_xlfn.WEBSERVICE("viacep.com.br/ws/"&amp;PF!$I136&amp;"/xml/")</f>
        <v>#VALUE!</v>
      </c>
    </row>
    <row r="158" spans="1:2" x14ac:dyDescent="0.3">
      <c r="A158" s="2" t="e">
        <f>_xlfn.WEBSERVICE("viacep.com.br/ws/"&amp;PJ!$E125&amp;"/xml/")</f>
        <v>#VALUE!</v>
      </c>
      <c r="B158" s="2" t="e">
        <f>_xlfn.WEBSERVICE("viacep.com.br/ws/"&amp;PF!$I137&amp;"/xml/")</f>
        <v>#VALUE!</v>
      </c>
    </row>
    <row r="159" spans="1:2" x14ac:dyDescent="0.3">
      <c r="A159" s="2" t="e">
        <f>_xlfn.WEBSERVICE("viacep.com.br/ws/"&amp;PJ!$E126&amp;"/xml/")</f>
        <v>#VALUE!</v>
      </c>
      <c r="B159" s="2" t="e">
        <f>_xlfn.WEBSERVICE("viacep.com.br/ws/"&amp;PF!$I138&amp;"/xml/")</f>
        <v>#VALUE!</v>
      </c>
    </row>
    <row r="160" spans="1:2" x14ac:dyDescent="0.3">
      <c r="A160" s="2" t="e">
        <f>_xlfn.WEBSERVICE("viacep.com.br/ws/"&amp;PJ!$E127&amp;"/xml/")</f>
        <v>#VALUE!</v>
      </c>
      <c r="B160" s="2" t="e">
        <f>_xlfn.WEBSERVICE("viacep.com.br/ws/"&amp;PF!$I139&amp;"/xml/")</f>
        <v>#VALUE!</v>
      </c>
    </row>
    <row r="161" spans="1:2" x14ac:dyDescent="0.3">
      <c r="A161" s="2" t="e">
        <f>_xlfn.WEBSERVICE("viacep.com.br/ws/"&amp;PJ!$E128&amp;"/xml/")</f>
        <v>#VALUE!</v>
      </c>
      <c r="B161" s="2" t="e">
        <f>_xlfn.WEBSERVICE("viacep.com.br/ws/"&amp;PF!$I140&amp;"/xml/")</f>
        <v>#VALUE!</v>
      </c>
    </row>
    <row r="162" spans="1:2" x14ac:dyDescent="0.3">
      <c r="A162" s="2" t="e">
        <f>_xlfn.WEBSERVICE("viacep.com.br/ws/"&amp;PJ!$E129&amp;"/xml/")</f>
        <v>#VALUE!</v>
      </c>
      <c r="B162" s="2" t="e">
        <f>_xlfn.WEBSERVICE("viacep.com.br/ws/"&amp;PF!$I141&amp;"/xml/")</f>
        <v>#VALUE!</v>
      </c>
    </row>
    <row r="163" spans="1:2" x14ac:dyDescent="0.3">
      <c r="A163" s="2" t="e">
        <f>_xlfn.WEBSERVICE("viacep.com.br/ws/"&amp;PJ!$E130&amp;"/xml/")</f>
        <v>#VALUE!</v>
      </c>
      <c r="B163" s="2" t="e">
        <f>_xlfn.WEBSERVICE("viacep.com.br/ws/"&amp;PF!$I142&amp;"/xml/")</f>
        <v>#VALUE!</v>
      </c>
    </row>
    <row r="164" spans="1:2" x14ac:dyDescent="0.3">
      <c r="A164" s="2" t="e">
        <f>_xlfn.WEBSERVICE("viacep.com.br/ws/"&amp;PJ!$E131&amp;"/xml/")</f>
        <v>#VALUE!</v>
      </c>
      <c r="B164" s="2" t="e">
        <f>_xlfn.WEBSERVICE("viacep.com.br/ws/"&amp;PF!$I143&amp;"/xml/")</f>
        <v>#VALUE!</v>
      </c>
    </row>
    <row r="165" spans="1:2" x14ac:dyDescent="0.3">
      <c r="A165" s="2" t="e">
        <f>_xlfn.WEBSERVICE("viacep.com.br/ws/"&amp;PJ!$E132&amp;"/xml/")</f>
        <v>#VALUE!</v>
      </c>
      <c r="B165" s="2" t="e">
        <f>_xlfn.WEBSERVICE("viacep.com.br/ws/"&amp;PF!$I144&amp;"/xml/")</f>
        <v>#VALUE!</v>
      </c>
    </row>
    <row r="166" spans="1:2" x14ac:dyDescent="0.3">
      <c r="A166" s="2" t="e">
        <f>_xlfn.WEBSERVICE("viacep.com.br/ws/"&amp;PJ!$E133&amp;"/xml/")</f>
        <v>#VALUE!</v>
      </c>
      <c r="B166" s="2" t="e">
        <f>_xlfn.WEBSERVICE("viacep.com.br/ws/"&amp;PF!$I145&amp;"/xml/")</f>
        <v>#VALUE!</v>
      </c>
    </row>
    <row r="167" spans="1:2" x14ac:dyDescent="0.3">
      <c r="A167" s="2" t="e">
        <f>_xlfn.WEBSERVICE("viacep.com.br/ws/"&amp;PJ!$E134&amp;"/xml/")</f>
        <v>#VALUE!</v>
      </c>
      <c r="B167" s="2" t="e">
        <f>_xlfn.WEBSERVICE("viacep.com.br/ws/"&amp;PF!$I146&amp;"/xml/")</f>
        <v>#VALUE!</v>
      </c>
    </row>
    <row r="168" spans="1:2" x14ac:dyDescent="0.3">
      <c r="A168" s="2" t="e">
        <f>_xlfn.WEBSERVICE("viacep.com.br/ws/"&amp;PJ!$E135&amp;"/xml/")</f>
        <v>#VALUE!</v>
      </c>
      <c r="B168" s="2" t="e">
        <f>_xlfn.WEBSERVICE("viacep.com.br/ws/"&amp;PF!$I147&amp;"/xml/")</f>
        <v>#VALUE!</v>
      </c>
    </row>
    <row r="169" spans="1:2" x14ac:dyDescent="0.3">
      <c r="A169" s="2" t="e">
        <f>_xlfn.WEBSERVICE("viacep.com.br/ws/"&amp;PJ!$E136&amp;"/xml/")</f>
        <v>#VALUE!</v>
      </c>
      <c r="B169" s="2" t="e">
        <f>_xlfn.WEBSERVICE("viacep.com.br/ws/"&amp;PF!$I148&amp;"/xml/")</f>
        <v>#VALUE!</v>
      </c>
    </row>
    <row r="170" spans="1:2" x14ac:dyDescent="0.3">
      <c r="A170" s="2" t="e">
        <f>_xlfn.WEBSERVICE("viacep.com.br/ws/"&amp;PJ!$E137&amp;"/xml/")</f>
        <v>#VALUE!</v>
      </c>
      <c r="B170" s="2" t="e">
        <f>_xlfn.WEBSERVICE("viacep.com.br/ws/"&amp;PF!$I149&amp;"/xml/")</f>
        <v>#VALUE!</v>
      </c>
    </row>
    <row r="171" spans="1:2" x14ac:dyDescent="0.3">
      <c r="A171" s="2" t="e">
        <f>_xlfn.WEBSERVICE("viacep.com.br/ws/"&amp;PJ!$E138&amp;"/xml/")</f>
        <v>#VALUE!</v>
      </c>
      <c r="B171" s="2" t="e">
        <f>_xlfn.WEBSERVICE("viacep.com.br/ws/"&amp;PF!$I150&amp;"/xml/")</f>
        <v>#VALUE!</v>
      </c>
    </row>
    <row r="172" spans="1:2" x14ac:dyDescent="0.3">
      <c r="A172" s="2" t="e">
        <f>_xlfn.WEBSERVICE("viacep.com.br/ws/"&amp;PJ!$E139&amp;"/xml/")</f>
        <v>#VALUE!</v>
      </c>
      <c r="B172" s="2" t="e">
        <f>_xlfn.WEBSERVICE("viacep.com.br/ws/"&amp;PF!$I151&amp;"/xml/")</f>
        <v>#VALUE!</v>
      </c>
    </row>
    <row r="173" spans="1:2" x14ac:dyDescent="0.3">
      <c r="A173" s="2" t="e">
        <f>_xlfn.WEBSERVICE("viacep.com.br/ws/"&amp;PJ!$E140&amp;"/xml/")</f>
        <v>#VALUE!</v>
      </c>
      <c r="B173" s="2" t="e">
        <f>_xlfn.WEBSERVICE("viacep.com.br/ws/"&amp;PF!$I152&amp;"/xml/")</f>
        <v>#VALUE!</v>
      </c>
    </row>
    <row r="174" spans="1:2" x14ac:dyDescent="0.3">
      <c r="A174" s="2" t="e">
        <f>_xlfn.WEBSERVICE("viacep.com.br/ws/"&amp;PJ!$E141&amp;"/xml/")</f>
        <v>#VALUE!</v>
      </c>
      <c r="B174" s="2" t="e">
        <f>_xlfn.WEBSERVICE("viacep.com.br/ws/"&amp;PF!$I153&amp;"/xml/")</f>
        <v>#VALUE!</v>
      </c>
    </row>
    <row r="175" spans="1:2" x14ac:dyDescent="0.3">
      <c r="A175" s="2" t="e">
        <f>_xlfn.WEBSERVICE("viacep.com.br/ws/"&amp;PJ!$E142&amp;"/xml/")</f>
        <v>#VALUE!</v>
      </c>
      <c r="B175" s="2" t="e">
        <f>_xlfn.WEBSERVICE("viacep.com.br/ws/"&amp;PF!$I154&amp;"/xml/")</f>
        <v>#VALUE!</v>
      </c>
    </row>
    <row r="176" spans="1:2" x14ac:dyDescent="0.3">
      <c r="A176" s="2" t="e">
        <f>_xlfn.WEBSERVICE("viacep.com.br/ws/"&amp;PJ!$E143&amp;"/xml/")</f>
        <v>#VALUE!</v>
      </c>
      <c r="B176" s="2" t="e">
        <f>_xlfn.WEBSERVICE("viacep.com.br/ws/"&amp;PF!$I155&amp;"/xml/")</f>
        <v>#VALUE!</v>
      </c>
    </row>
    <row r="177" spans="1:2" x14ac:dyDescent="0.3">
      <c r="A177" s="2" t="e">
        <f>_xlfn.WEBSERVICE("viacep.com.br/ws/"&amp;PJ!$E144&amp;"/xml/")</f>
        <v>#VALUE!</v>
      </c>
      <c r="B177" s="2" t="e">
        <f>_xlfn.WEBSERVICE("viacep.com.br/ws/"&amp;PF!$I156&amp;"/xml/")</f>
        <v>#VALUE!</v>
      </c>
    </row>
    <row r="178" spans="1:2" x14ac:dyDescent="0.3">
      <c r="A178" s="2" t="e">
        <f>_xlfn.WEBSERVICE("viacep.com.br/ws/"&amp;PJ!$E145&amp;"/xml/")</f>
        <v>#VALUE!</v>
      </c>
      <c r="B178" s="2" t="e">
        <f>_xlfn.WEBSERVICE("viacep.com.br/ws/"&amp;PF!$I157&amp;"/xml/")</f>
        <v>#VALUE!</v>
      </c>
    </row>
    <row r="179" spans="1:2" x14ac:dyDescent="0.3">
      <c r="A179" s="2" t="e">
        <f>_xlfn.WEBSERVICE("viacep.com.br/ws/"&amp;PJ!$E146&amp;"/xml/")</f>
        <v>#VALUE!</v>
      </c>
      <c r="B179" s="2" t="e">
        <f>_xlfn.WEBSERVICE("viacep.com.br/ws/"&amp;PF!$I158&amp;"/xml/")</f>
        <v>#VALUE!</v>
      </c>
    </row>
    <row r="180" spans="1:2" x14ac:dyDescent="0.3">
      <c r="A180" s="2" t="e">
        <f>_xlfn.WEBSERVICE("viacep.com.br/ws/"&amp;PJ!$E147&amp;"/xml/")</f>
        <v>#VALUE!</v>
      </c>
      <c r="B180" s="2" t="e">
        <f>_xlfn.WEBSERVICE("viacep.com.br/ws/"&amp;PF!$I159&amp;"/xml/")</f>
        <v>#VALUE!</v>
      </c>
    </row>
    <row r="181" spans="1:2" x14ac:dyDescent="0.3">
      <c r="A181" s="2" t="e">
        <f>_xlfn.WEBSERVICE("viacep.com.br/ws/"&amp;PJ!$E148&amp;"/xml/")</f>
        <v>#VALUE!</v>
      </c>
      <c r="B181" s="2" t="e">
        <f>_xlfn.WEBSERVICE("viacep.com.br/ws/"&amp;PF!$I160&amp;"/xml/")</f>
        <v>#VALUE!</v>
      </c>
    </row>
    <row r="182" spans="1:2" x14ac:dyDescent="0.3">
      <c r="A182" s="2" t="e">
        <f>_xlfn.WEBSERVICE("viacep.com.br/ws/"&amp;PJ!$E149&amp;"/xml/")</f>
        <v>#VALUE!</v>
      </c>
      <c r="B182" s="2" t="e">
        <f>_xlfn.WEBSERVICE("viacep.com.br/ws/"&amp;PF!$I161&amp;"/xml/")</f>
        <v>#VALUE!</v>
      </c>
    </row>
    <row r="183" spans="1:2" x14ac:dyDescent="0.3">
      <c r="A183" s="2" t="e">
        <f>_xlfn.WEBSERVICE("viacep.com.br/ws/"&amp;PJ!$E150&amp;"/xml/")</f>
        <v>#VALUE!</v>
      </c>
      <c r="B183" s="2" t="e">
        <f>_xlfn.WEBSERVICE("viacep.com.br/ws/"&amp;PF!$I162&amp;"/xml/")</f>
        <v>#VALUE!</v>
      </c>
    </row>
    <row r="184" spans="1:2" x14ac:dyDescent="0.3">
      <c r="A184" s="2" t="e">
        <f>_xlfn.WEBSERVICE("viacep.com.br/ws/"&amp;PJ!$E151&amp;"/xml/")</f>
        <v>#VALUE!</v>
      </c>
      <c r="B184" s="2" t="e">
        <f>_xlfn.WEBSERVICE("viacep.com.br/ws/"&amp;PF!$I163&amp;"/xml/")</f>
        <v>#VALUE!</v>
      </c>
    </row>
    <row r="185" spans="1:2" x14ac:dyDescent="0.3">
      <c r="A185" s="2" t="e">
        <f>_xlfn.WEBSERVICE("viacep.com.br/ws/"&amp;PJ!$E152&amp;"/xml/")</f>
        <v>#VALUE!</v>
      </c>
      <c r="B185" s="2" t="e">
        <f>_xlfn.WEBSERVICE("viacep.com.br/ws/"&amp;PF!$I164&amp;"/xml/")</f>
        <v>#VALUE!</v>
      </c>
    </row>
    <row r="186" spans="1:2" x14ac:dyDescent="0.3">
      <c r="A186" s="2" t="e">
        <f>_xlfn.WEBSERVICE("viacep.com.br/ws/"&amp;PJ!$E153&amp;"/xml/")</f>
        <v>#VALUE!</v>
      </c>
      <c r="B186" s="2" t="e">
        <f>_xlfn.WEBSERVICE("viacep.com.br/ws/"&amp;PF!$I165&amp;"/xml/")</f>
        <v>#VALUE!</v>
      </c>
    </row>
    <row r="187" spans="1:2" x14ac:dyDescent="0.3">
      <c r="A187" s="2" t="e">
        <f>_xlfn.WEBSERVICE("viacep.com.br/ws/"&amp;PJ!$E154&amp;"/xml/")</f>
        <v>#VALUE!</v>
      </c>
      <c r="B187" s="2" t="e">
        <f>_xlfn.WEBSERVICE("viacep.com.br/ws/"&amp;PF!$I166&amp;"/xml/")</f>
        <v>#VALUE!</v>
      </c>
    </row>
    <row r="188" spans="1:2" x14ac:dyDescent="0.3">
      <c r="A188" s="2" t="e">
        <f>_xlfn.WEBSERVICE("viacep.com.br/ws/"&amp;PJ!$E155&amp;"/xml/")</f>
        <v>#VALUE!</v>
      </c>
      <c r="B188" s="2" t="e">
        <f>_xlfn.WEBSERVICE("viacep.com.br/ws/"&amp;PF!$I167&amp;"/xml/")</f>
        <v>#VALUE!</v>
      </c>
    </row>
    <row r="189" spans="1:2" x14ac:dyDescent="0.3">
      <c r="A189" s="2" t="e">
        <f>_xlfn.WEBSERVICE("viacep.com.br/ws/"&amp;PJ!$E156&amp;"/xml/")</f>
        <v>#VALUE!</v>
      </c>
      <c r="B189" s="2" t="e">
        <f>_xlfn.WEBSERVICE("viacep.com.br/ws/"&amp;PF!$I168&amp;"/xml/")</f>
        <v>#VALUE!</v>
      </c>
    </row>
    <row r="190" spans="1:2" x14ac:dyDescent="0.3">
      <c r="A190" s="2" t="e">
        <f>_xlfn.WEBSERVICE("viacep.com.br/ws/"&amp;PJ!$E157&amp;"/xml/")</f>
        <v>#VALUE!</v>
      </c>
      <c r="B190" s="2" t="e">
        <f>_xlfn.WEBSERVICE("viacep.com.br/ws/"&amp;PF!$I169&amp;"/xml/")</f>
        <v>#VALUE!</v>
      </c>
    </row>
    <row r="191" spans="1:2" x14ac:dyDescent="0.3">
      <c r="A191" s="2" t="e">
        <f>_xlfn.WEBSERVICE("viacep.com.br/ws/"&amp;PJ!$E158&amp;"/xml/")</f>
        <v>#VALUE!</v>
      </c>
      <c r="B191" s="2" t="e">
        <f>_xlfn.WEBSERVICE("viacep.com.br/ws/"&amp;PF!$I170&amp;"/xml/")</f>
        <v>#VALUE!</v>
      </c>
    </row>
    <row r="192" spans="1:2" x14ac:dyDescent="0.3">
      <c r="A192" s="2" t="e">
        <f>_xlfn.WEBSERVICE("viacep.com.br/ws/"&amp;PJ!$E159&amp;"/xml/")</f>
        <v>#VALUE!</v>
      </c>
      <c r="B192" s="2" t="e">
        <f>_xlfn.WEBSERVICE("viacep.com.br/ws/"&amp;PF!$I171&amp;"/xml/")</f>
        <v>#VALUE!</v>
      </c>
    </row>
    <row r="193" spans="1:2" x14ac:dyDescent="0.3">
      <c r="A193" s="2" t="e">
        <f>_xlfn.WEBSERVICE("viacep.com.br/ws/"&amp;PJ!$E160&amp;"/xml/")</f>
        <v>#VALUE!</v>
      </c>
      <c r="B193" s="2" t="e">
        <f>_xlfn.WEBSERVICE("viacep.com.br/ws/"&amp;PF!$I172&amp;"/xml/")</f>
        <v>#VALUE!</v>
      </c>
    </row>
    <row r="194" spans="1:2" x14ac:dyDescent="0.3">
      <c r="A194" s="2" t="e">
        <f>_xlfn.WEBSERVICE("viacep.com.br/ws/"&amp;PJ!$E161&amp;"/xml/")</f>
        <v>#VALUE!</v>
      </c>
      <c r="B194" s="2" t="e">
        <f>_xlfn.WEBSERVICE("viacep.com.br/ws/"&amp;PF!$I173&amp;"/xml/")</f>
        <v>#VALUE!</v>
      </c>
    </row>
    <row r="195" spans="1:2" x14ac:dyDescent="0.3">
      <c r="A195" s="2" t="e">
        <f>_xlfn.WEBSERVICE("viacep.com.br/ws/"&amp;PJ!$E162&amp;"/xml/")</f>
        <v>#VALUE!</v>
      </c>
      <c r="B195" s="2" t="e">
        <f>_xlfn.WEBSERVICE("viacep.com.br/ws/"&amp;PF!$I174&amp;"/xml/")</f>
        <v>#VALUE!</v>
      </c>
    </row>
    <row r="196" spans="1:2" x14ac:dyDescent="0.3">
      <c r="A196" s="2" t="e">
        <f>_xlfn.WEBSERVICE("viacep.com.br/ws/"&amp;PJ!$E163&amp;"/xml/")</f>
        <v>#VALUE!</v>
      </c>
      <c r="B196" s="2" t="e">
        <f>_xlfn.WEBSERVICE("viacep.com.br/ws/"&amp;PF!$I175&amp;"/xml/")</f>
        <v>#VALUE!</v>
      </c>
    </row>
    <row r="197" spans="1:2" x14ac:dyDescent="0.3">
      <c r="A197" s="2" t="e">
        <f>_xlfn.WEBSERVICE("viacep.com.br/ws/"&amp;PJ!$E164&amp;"/xml/")</f>
        <v>#VALUE!</v>
      </c>
      <c r="B197" s="2" t="e">
        <f>_xlfn.WEBSERVICE("viacep.com.br/ws/"&amp;PF!$I176&amp;"/xml/")</f>
        <v>#VALUE!</v>
      </c>
    </row>
    <row r="198" spans="1:2" x14ac:dyDescent="0.3">
      <c r="A198" s="2" t="e">
        <f>_xlfn.WEBSERVICE("viacep.com.br/ws/"&amp;PJ!$E165&amp;"/xml/")</f>
        <v>#VALUE!</v>
      </c>
      <c r="B198" s="2" t="e">
        <f>_xlfn.WEBSERVICE("viacep.com.br/ws/"&amp;PF!$I177&amp;"/xml/")</f>
        <v>#VALUE!</v>
      </c>
    </row>
    <row r="199" spans="1:2" x14ac:dyDescent="0.3">
      <c r="A199" s="2" t="e">
        <f>_xlfn.WEBSERVICE("viacep.com.br/ws/"&amp;PJ!$E166&amp;"/xml/")</f>
        <v>#VALUE!</v>
      </c>
      <c r="B199" s="2" t="e">
        <f>_xlfn.WEBSERVICE("viacep.com.br/ws/"&amp;PF!$I178&amp;"/xml/")</f>
        <v>#VALUE!</v>
      </c>
    </row>
    <row r="200" spans="1:2" x14ac:dyDescent="0.3">
      <c r="A200" s="2" t="e">
        <f>_xlfn.WEBSERVICE("viacep.com.br/ws/"&amp;PJ!$E167&amp;"/xml/")</f>
        <v>#VALUE!</v>
      </c>
      <c r="B200" s="2" t="e">
        <f>_xlfn.WEBSERVICE("viacep.com.br/ws/"&amp;PF!$I179&amp;"/xml/")</f>
        <v>#VALUE!</v>
      </c>
    </row>
    <row r="201" spans="1:2" x14ac:dyDescent="0.3">
      <c r="A201" s="2" t="e">
        <f>_xlfn.WEBSERVICE("viacep.com.br/ws/"&amp;PJ!$E168&amp;"/xml/")</f>
        <v>#VALUE!</v>
      </c>
      <c r="B201" s="2" t="e">
        <f>_xlfn.WEBSERVICE("viacep.com.br/ws/"&amp;PF!$I180&amp;"/xml/")</f>
        <v>#VALUE!</v>
      </c>
    </row>
    <row r="202" spans="1:2" x14ac:dyDescent="0.3">
      <c r="A202" s="2" t="e">
        <f>_xlfn.WEBSERVICE("viacep.com.br/ws/"&amp;PJ!$E169&amp;"/xml/")</f>
        <v>#VALUE!</v>
      </c>
      <c r="B202" s="2" t="e">
        <f>_xlfn.WEBSERVICE("viacep.com.br/ws/"&amp;PF!$I181&amp;"/xml/")</f>
        <v>#VALUE!</v>
      </c>
    </row>
    <row r="203" spans="1:2" x14ac:dyDescent="0.3">
      <c r="A203" s="2" t="e">
        <f>_xlfn.WEBSERVICE("viacep.com.br/ws/"&amp;PJ!$E170&amp;"/xml/")</f>
        <v>#VALUE!</v>
      </c>
      <c r="B203" s="2" t="e">
        <f>_xlfn.WEBSERVICE("viacep.com.br/ws/"&amp;PF!$I182&amp;"/xml/")</f>
        <v>#VALUE!</v>
      </c>
    </row>
    <row r="204" spans="1:2" x14ac:dyDescent="0.3">
      <c r="A204" s="2" t="e">
        <f>_xlfn.WEBSERVICE("viacep.com.br/ws/"&amp;PJ!$E171&amp;"/xml/")</f>
        <v>#VALUE!</v>
      </c>
      <c r="B204" s="2" t="e">
        <f>_xlfn.WEBSERVICE("viacep.com.br/ws/"&amp;PF!$I183&amp;"/xml/")</f>
        <v>#VALUE!</v>
      </c>
    </row>
    <row r="205" spans="1:2" x14ac:dyDescent="0.3">
      <c r="A205" s="2" t="e">
        <f>_xlfn.WEBSERVICE("viacep.com.br/ws/"&amp;PJ!$E172&amp;"/xml/")</f>
        <v>#VALUE!</v>
      </c>
      <c r="B205" s="2" t="e">
        <f>_xlfn.WEBSERVICE("viacep.com.br/ws/"&amp;PF!$I184&amp;"/xml/")</f>
        <v>#VALUE!</v>
      </c>
    </row>
    <row r="206" spans="1:2" x14ac:dyDescent="0.3">
      <c r="A206" s="2" t="e">
        <f>_xlfn.WEBSERVICE("viacep.com.br/ws/"&amp;PJ!$E173&amp;"/xml/")</f>
        <v>#VALUE!</v>
      </c>
      <c r="B206" s="2" t="e">
        <f>_xlfn.WEBSERVICE("viacep.com.br/ws/"&amp;PF!$I185&amp;"/xml/")</f>
        <v>#VALUE!</v>
      </c>
    </row>
    <row r="207" spans="1:2" x14ac:dyDescent="0.3">
      <c r="A207" s="2" t="e">
        <f>_xlfn.WEBSERVICE("viacep.com.br/ws/"&amp;PJ!$E174&amp;"/xml/")</f>
        <v>#VALUE!</v>
      </c>
      <c r="B207" s="2" t="e">
        <f>_xlfn.WEBSERVICE("viacep.com.br/ws/"&amp;PF!$I186&amp;"/xml/")</f>
        <v>#VALUE!</v>
      </c>
    </row>
    <row r="208" spans="1:2" x14ac:dyDescent="0.3">
      <c r="A208" s="2" t="e">
        <f>_xlfn.WEBSERVICE("viacep.com.br/ws/"&amp;PJ!$E175&amp;"/xml/")</f>
        <v>#VALUE!</v>
      </c>
      <c r="B208" s="2" t="e">
        <f>_xlfn.WEBSERVICE("viacep.com.br/ws/"&amp;PF!$I187&amp;"/xml/")</f>
        <v>#VALUE!</v>
      </c>
    </row>
    <row r="209" spans="1:2" x14ac:dyDescent="0.3">
      <c r="A209" s="2" t="e">
        <f>_xlfn.WEBSERVICE("viacep.com.br/ws/"&amp;PJ!$E176&amp;"/xml/")</f>
        <v>#VALUE!</v>
      </c>
      <c r="B209" s="2" t="e">
        <f>_xlfn.WEBSERVICE("viacep.com.br/ws/"&amp;PF!$I188&amp;"/xml/")</f>
        <v>#VALUE!</v>
      </c>
    </row>
    <row r="210" spans="1:2" x14ac:dyDescent="0.3">
      <c r="A210" s="2" t="e">
        <f>_xlfn.WEBSERVICE("viacep.com.br/ws/"&amp;PJ!$E177&amp;"/xml/")</f>
        <v>#VALUE!</v>
      </c>
      <c r="B210" s="2" t="e">
        <f>_xlfn.WEBSERVICE("viacep.com.br/ws/"&amp;PF!$I189&amp;"/xml/")</f>
        <v>#VALUE!</v>
      </c>
    </row>
    <row r="211" spans="1:2" x14ac:dyDescent="0.3">
      <c r="A211" s="2" t="e">
        <f>_xlfn.WEBSERVICE("viacep.com.br/ws/"&amp;PJ!$E178&amp;"/xml/")</f>
        <v>#VALUE!</v>
      </c>
      <c r="B211" s="2" t="e">
        <f>_xlfn.WEBSERVICE("viacep.com.br/ws/"&amp;PF!$I190&amp;"/xml/")</f>
        <v>#VALUE!</v>
      </c>
    </row>
    <row r="212" spans="1:2" x14ac:dyDescent="0.3">
      <c r="A212" s="2" t="e">
        <f>_xlfn.WEBSERVICE("viacep.com.br/ws/"&amp;PJ!$E179&amp;"/xml/")</f>
        <v>#VALUE!</v>
      </c>
      <c r="B212" s="2" t="e">
        <f>_xlfn.WEBSERVICE("viacep.com.br/ws/"&amp;PF!$I191&amp;"/xml/")</f>
        <v>#VALUE!</v>
      </c>
    </row>
    <row r="213" spans="1:2" x14ac:dyDescent="0.3">
      <c r="A213" s="2" t="e">
        <f>_xlfn.WEBSERVICE("viacep.com.br/ws/"&amp;PJ!$E180&amp;"/xml/")</f>
        <v>#VALUE!</v>
      </c>
      <c r="B213" s="2" t="e">
        <f>_xlfn.WEBSERVICE("viacep.com.br/ws/"&amp;PF!$I192&amp;"/xml/")</f>
        <v>#VALUE!</v>
      </c>
    </row>
    <row r="214" spans="1:2" x14ac:dyDescent="0.3">
      <c r="A214" s="2" t="e">
        <f>_xlfn.WEBSERVICE("viacep.com.br/ws/"&amp;PJ!$E181&amp;"/xml/")</f>
        <v>#VALUE!</v>
      </c>
      <c r="B214" s="2" t="e">
        <f>_xlfn.WEBSERVICE("viacep.com.br/ws/"&amp;PF!$I193&amp;"/xml/")</f>
        <v>#VALUE!</v>
      </c>
    </row>
    <row r="215" spans="1:2" x14ac:dyDescent="0.3">
      <c r="A215" s="2" t="e">
        <f>_xlfn.WEBSERVICE("viacep.com.br/ws/"&amp;PJ!$E182&amp;"/xml/")</f>
        <v>#VALUE!</v>
      </c>
      <c r="B215" s="2" t="e">
        <f>_xlfn.WEBSERVICE("viacep.com.br/ws/"&amp;PF!$I194&amp;"/xml/")</f>
        <v>#VALUE!</v>
      </c>
    </row>
    <row r="216" spans="1:2" x14ac:dyDescent="0.3">
      <c r="A216" s="2" t="e">
        <f>_xlfn.WEBSERVICE("viacep.com.br/ws/"&amp;PJ!$E183&amp;"/xml/")</f>
        <v>#VALUE!</v>
      </c>
      <c r="B216" s="2" t="e">
        <f>_xlfn.WEBSERVICE("viacep.com.br/ws/"&amp;PF!$I195&amp;"/xml/")</f>
        <v>#VALUE!</v>
      </c>
    </row>
    <row r="217" spans="1:2" x14ac:dyDescent="0.3">
      <c r="A217" s="2" t="e">
        <f>_xlfn.WEBSERVICE("viacep.com.br/ws/"&amp;PJ!$E184&amp;"/xml/")</f>
        <v>#VALUE!</v>
      </c>
      <c r="B217" s="2" t="e">
        <f>_xlfn.WEBSERVICE("viacep.com.br/ws/"&amp;PF!$I196&amp;"/xml/")</f>
        <v>#VALUE!</v>
      </c>
    </row>
    <row r="218" spans="1:2" x14ac:dyDescent="0.3">
      <c r="A218" s="2" t="e">
        <f>_xlfn.WEBSERVICE("viacep.com.br/ws/"&amp;PJ!$E185&amp;"/xml/")</f>
        <v>#VALUE!</v>
      </c>
      <c r="B218" s="2" t="e">
        <f>_xlfn.WEBSERVICE("viacep.com.br/ws/"&amp;PF!$I197&amp;"/xml/")</f>
        <v>#VALUE!</v>
      </c>
    </row>
    <row r="219" spans="1:2" x14ac:dyDescent="0.3">
      <c r="A219" s="2" t="e">
        <f>_xlfn.WEBSERVICE("viacep.com.br/ws/"&amp;PJ!$E186&amp;"/xml/")</f>
        <v>#VALUE!</v>
      </c>
      <c r="B219" s="2" t="e">
        <f>_xlfn.WEBSERVICE("viacep.com.br/ws/"&amp;PF!$I198&amp;"/xml/")</f>
        <v>#VALUE!</v>
      </c>
    </row>
    <row r="220" spans="1:2" x14ac:dyDescent="0.3">
      <c r="A220" s="2" t="e">
        <f>_xlfn.WEBSERVICE("viacep.com.br/ws/"&amp;PJ!$E187&amp;"/xml/")</f>
        <v>#VALUE!</v>
      </c>
      <c r="B220" s="2" t="e">
        <f>_xlfn.WEBSERVICE("viacep.com.br/ws/"&amp;PF!$I199&amp;"/xml/")</f>
        <v>#VALUE!</v>
      </c>
    </row>
    <row r="221" spans="1:2" x14ac:dyDescent="0.3">
      <c r="A221" s="2" t="e">
        <f>_xlfn.WEBSERVICE("viacep.com.br/ws/"&amp;PJ!$E188&amp;"/xml/")</f>
        <v>#VALUE!</v>
      </c>
      <c r="B221" s="2" t="e">
        <f>_xlfn.WEBSERVICE("viacep.com.br/ws/"&amp;PF!$I200&amp;"/xml/")</f>
        <v>#VALUE!</v>
      </c>
    </row>
    <row r="222" spans="1:2" x14ac:dyDescent="0.3">
      <c r="A222" s="2" t="e">
        <f>_xlfn.WEBSERVICE("viacep.com.br/ws/"&amp;PJ!$E189&amp;"/xml/")</f>
        <v>#VALUE!</v>
      </c>
      <c r="B222" s="2" t="e">
        <f>_xlfn.WEBSERVICE("viacep.com.br/ws/"&amp;PF!$I201&amp;"/xml/")</f>
        <v>#VALUE!</v>
      </c>
    </row>
    <row r="223" spans="1:2" x14ac:dyDescent="0.3">
      <c r="A223" s="2" t="e">
        <f>_xlfn.WEBSERVICE("viacep.com.br/ws/"&amp;PJ!$E190&amp;"/xml/")</f>
        <v>#VALUE!</v>
      </c>
      <c r="B223" s="2" t="e">
        <f>_xlfn.WEBSERVICE("viacep.com.br/ws/"&amp;PF!$I202&amp;"/xml/")</f>
        <v>#VALUE!</v>
      </c>
    </row>
    <row r="224" spans="1:2" x14ac:dyDescent="0.3">
      <c r="A224" s="2" t="e">
        <f>_xlfn.WEBSERVICE("viacep.com.br/ws/"&amp;PJ!$E191&amp;"/xml/")</f>
        <v>#VALUE!</v>
      </c>
      <c r="B224" s="2" t="e">
        <f>_xlfn.WEBSERVICE("viacep.com.br/ws/"&amp;PF!$I203&amp;"/xml/")</f>
        <v>#VALUE!</v>
      </c>
    </row>
    <row r="225" spans="1:2" x14ac:dyDescent="0.3">
      <c r="A225" s="2" t="e">
        <f>_xlfn.WEBSERVICE("viacep.com.br/ws/"&amp;PJ!$E192&amp;"/xml/")</f>
        <v>#VALUE!</v>
      </c>
      <c r="B225" s="2" t="e">
        <f>_xlfn.WEBSERVICE("viacep.com.br/ws/"&amp;PF!$I204&amp;"/xml/")</f>
        <v>#VALUE!</v>
      </c>
    </row>
    <row r="226" spans="1:2" x14ac:dyDescent="0.3">
      <c r="A226" s="2" t="e">
        <f>_xlfn.WEBSERVICE("viacep.com.br/ws/"&amp;PJ!$E193&amp;"/xml/")</f>
        <v>#VALUE!</v>
      </c>
      <c r="B226" s="2" t="e">
        <f>_xlfn.WEBSERVICE("viacep.com.br/ws/"&amp;PF!$I205&amp;"/xml/")</f>
        <v>#VALUE!</v>
      </c>
    </row>
    <row r="227" spans="1:2" x14ac:dyDescent="0.3">
      <c r="A227" s="2" t="e">
        <f>_xlfn.WEBSERVICE("viacep.com.br/ws/"&amp;PJ!$E194&amp;"/xml/")</f>
        <v>#VALUE!</v>
      </c>
      <c r="B227" s="2" t="e">
        <f>_xlfn.WEBSERVICE("viacep.com.br/ws/"&amp;PF!$I206&amp;"/xml/")</f>
        <v>#VALUE!</v>
      </c>
    </row>
    <row r="228" spans="1:2" x14ac:dyDescent="0.3">
      <c r="A228" s="2" t="e">
        <f>_xlfn.WEBSERVICE("viacep.com.br/ws/"&amp;PJ!$E195&amp;"/xml/")</f>
        <v>#VALUE!</v>
      </c>
      <c r="B228" s="2" t="e">
        <f>_xlfn.WEBSERVICE("viacep.com.br/ws/"&amp;PF!$I207&amp;"/xml/")</f>
        <v>#VALUE!</v>
      </c>
    </row>
    <row r="229" spans="1:2" x14ac:dyDescent="0.3">
      <c r="A229" s="2" t="e">
        <f>_xlfn.WEBSERVICE("viacep.com.br/ws/"&amp;PJ!$E196&amp;"/xml/")</f>
        <v>#VALUE!</v>
      </c>
      <c r="B229" s="2" t="e">
        <f>_xlfn.WEBSERVICE("viacep.com.br/ws/"&amp;PF!$I208&amp;"/xml/")</f>
        <v>#VALUE!</v>
      </c>
    </row>
    <row r="230" spans="1:2" x14ac:dyDescent="0.3">
      <c r="A230" s="2" t="e">
        <f>_xlfn.WEBSERVICE("viacep.com.br/ws/"&amp;PJ!$E197&amp;"/xml/")</f>
        <v>#VALUE!</v>
      </c>
      <c r="B230" s="2" t="e">
        <f>_xlfn.WEBSERVICE("viacep.com.br/ws/"&amp;PF!$I209&amp;"/xml/")</f>
        <v>#VALUE!</v>
      </c>
    </row>
    <row r="231" spans="1:2" x14ac:dyDescent="0.3">
      <c r="A231" s="2" t="e">
        <f>_xlfn.WEBSERVICE("viacep.com.br/ws/"&amp;PJ!$E198&amp;"/xml/")</f>
        <v>#VALUE!</v>
      </c>
      <c r="B231" s="2" t="e">
        <f>_xlfn.WEBSERVICE("viacep.com.br/ws/"&amp;PF!$I210&amp;"/xml/")</f>
        <v>#VALUE!</v>
      </c>
    </row>
    <row r="232" spans="1:2" x14ac:dyDescent="0.3">
      <c r="A232" s="2" t="e">
        <f>_xlfn.WEBSERVICE("viacep.com.br/ws/"&amp;PJ!$E199&amp;"/xml/")</f>
        <v>#VALUE!</v>
      </c>
      <c r="B232" s="2" t="e">
        <f>_xlfn.WEBSERVICE("viacep.com.br/ws/"&amp;PF!$I211&amp;"/xml/")</f>
        <v>#VALUE!</v>
      </c>
    </row>
    <row r="233" spans="1:2" x14ac:dyDescent="0.3">
      <c r="A233" s="2" t="e">
        <f>_xlfn.WEBSERVICE("viacep.com.br/ws/"&amp;PJ!$E200&amp;"/xml/")</f>
        <v>#VALUE!</v>
      </c>
      <c r="B233" s="2" t="e">
        <f>_xlfn.WEBSERVICE("viacep.com.br/ws/"&amp;PF!$I212&amp;"/xml/")</f>
        <v>#VALUE!</v>
      </c>
    </row>
    <row r="234" spans="1:2" x14ac:dyDescent="0.3">
      <c r="A234" s="2" t="e">
        <f>_xlfn.WEBSERVICE("viacep.com.br/ws/"&amp;PJ!$E201&amp;"/xml/")</f>
        <v>#VALUE!</v>
      </c>
      <c r="B234" s="2" t="e">
        <f>_xlfn.WEBSERVICE("viacep.com.br/ws/"&amp;PF!$I213&amp;"/xml/")</f>
        <v>#VALUE!</v>
      </c>
    </row>
    <row r="235" spans="1:2" x14ac:dyDescent="0.3">
      <c r="A235" s="2" t="e">
        <f>_xlfn.WEBSERVICE("viacep.com.br/ws/"&amp;PJ!$E202&amp;"/xml/")</f>
        <v>#VALUE!</v>
      </c>
      <c r="B235" s="2" t="e">
        <f>_xlfn.WEBSERVICE("viacep.com.br/ws/"&amp;PF!$I214&amp;"/xml/")</f>
        <v>#VALUE!</v>
      </c>
    </row>
    <row r="236" spans="1:2" x14ac:dyDescent="0.3">
      <c r="A236" s="2" t="e">
        <f>_xlfn.WEBSERVICE("viacep.com.br/ws/"&amp;PJ!$E203&amp;"/xml/")</f>
        <v>#VALUE!</v>
      </c>
      <c r="B236" s="2" t="e">
        <f>_xlfn.WEBSERVICE("viacep.com.br/ws/"&amp;PF!$I213&amp;"/xml/")</f>
        <v>#VALUE!</v>
      </c>
    </row>
    <row r="237" spans="1:2" x14ac:dyDescent="0.3">
      <c r="A237" s="2" t="e">
        <f>_xlfn.WEBSERVICE("viacep.com.br/ws/"&amp;PJ!$E204&amp;"/xml/")</f>
        <v>#VALUE!</v>
      </c>
      <c r="B237" s="2" t="e">
        <f>_xlfn.WEBSERVICE("viacep.com.br/ws/"&amp;PF!$I214&amp;"/xml/")</f>
        <v>#VALUE!</v>
      </c>
    </row>
    <row r="238" spans="1:2" x14ac:dyDescent="0.3">
      <c r="A238" s="2" t="e">
        <f>_xlfn.WEBSERVICE("viacep.com.br/ws/"&amp;PJ!$E205&amp;"/xml/")</f>
        <v>#VALUE!</v>
      </c>
      <c r="B238" s="2" t="e">
        <f>_xlfn.WEBSERVICE("viacep.com.br/ws/"&amp;PF!$I215&amp;"/xml/")</f>
        <v>#VALUE!</v>
      </c>
    </row>
    <row r="239" spans="1:2" x14ac:dyDescent="0.3">
      <c r="B239" s="2" t="e">
        <f>_xlfn.WEBSERVICE("viacep.com.br/ws/"&amp;PF!$I216&amp;"/xml/")</f>
        <v>#VALUE!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1F9C32-F021-4313-B8C8-7974C0F234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PF</vt:lpstr>
      <vt:lpstr>PJ</vt:lpstr>
      <vt:lpstr>Processos</vt:lpstr>
      <vt:lpstr>Peticoes</vt:lpstr>
      <vt:lpstr>Servicos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alonp</dc:creator>
  <cp:lastModifiedBy>5517996022058</cp:lastModifiedBy>
  <dcterms:created xsi:type="dcterms:W3CDTF">2019-11-29T15:58:26Z</dcterms:created>
  <dcterms:modified xsi:type="dcterms:W3CDTF">2023-03-31T13:12:53Z</dcterms:modified>
</cp:coreProperties>
</file>