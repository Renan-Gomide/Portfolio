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lberto\Dropbox\04_Renan\05_Github\Particular\Editor-de-documentos\"/>
    </mc:Choice>
  </mc:AlternateContent>
  <bookViews>
    <workbookView xWindow="0" yWindow="0" windowWidth="20490" windowHeight="8235" tabRatio="537" activeTab="3"/>
  </bookViews>
  <sheets>
    <sheet name="PF" sheetId="5" r:id="rId1"/>
    <sheet name="PJ" sheetId="15" r:id="rId2"/>
    <sheet name="Processos" sheetId="13" r:id="rId3"/>
    <sheet name="Peticoes" sheetId="10" r:id="rId4"/>
    <sheet name="Modelos" sheetId="12" r:id="rId5"/>
  </sheets>
  <definedNames>
    <definedName name="_xlnm._FilterDatabase" localSheetId="0" hidden="1">PF!$C$1:$C$54</definedName>
    <definedName name="_xlnm._FilterDatabase" localSheetId="2" hidden="1">Processos!$A$1:$F$5</definedName>
    <definedName name="_GoBack" localSheetId="4">Modelos!#REF!</definedName>
    <definedName name="_GoBack" localSheetId="3">Peticoes!#REF!</definedName>
    <definedName name="_GoBack" localSheetId="1">PJ!#REF!</definedName>
    <definedName name="_xlcn.WorksheetConnection_01_Cadastro.xlsmTabelaPf" hidden="1">TabelaPf[]</definedName>
    <definedName name="_xlcn.WorksheetConnection_01_Cadastro.xlsmTabelaPfNOME" hidden="1">TabelaPf[NOME]</definedName>
    <definedName name="_xlcn.WorksheetConnection_01_Cadastro.xlsmTabelaPj" hidden="1">TabelaPj[]</definedName>
    <definedName name="_xlcn.WorksheetConnection_PFBB" hidden="1">PF!$B:$B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Pf NOME" name="TabelaPf NOME" connection="WorksheetConnection_01_Cadastro.xlsm!TabelaPf[NOME]"/>
          <x15:modelTable id="TabelaPj" name="TabelaPj" connection="WorksheetConnection_01_Cadastro.xlsm!TabelaPj"/>
          <x15:modelTable id="TabelaPf" name="TabelaPf" connection="WorksheetConnection_01_Cadastro.xlsm!TabelaPf"/>
          <x15:modelTable id="Intervalo" name="Intervalo" connection="WorksheetConnection_PF!$B:$B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3" i="12" l="1"/>
  <c r="E4" i="10" l="1"/>
  <c r="E5" i="10"/>
  <c r="E6" i="10"/>
  <c r="E7" i="10"/>
  <c r="E8" i="10"/>
  <c r="E9" i="10"/>
  <c r="E10" i="10"/>
  <c r="E11" i="10"/>
  <c r="E12" i="10"/>
  <c r="E13" i="10"/>
  <c r="E14" i="10"/>
  <c r="E15" i="10"/>
  <c r="E16" i="10"/>
  <c r="E18" i="10"/>
  <c r="E19" i="10"/>
  <c r="E20" i="10"/>
  <c r="E21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8" i="10"/>
  <c r="D19" i="10"/>
  <c r="D20" i="10"/>
  <c r="D21" i="10"/>
  <c r="A21" i="10" l="1"/>
  <c r="A20" i="10" l="1"/>
  <c r="A23" i="15"/>
  <c r="F23" i="15"/>
  <c r="I23" i="15"/>
  <c r="J23" i="15"/>
  <c r="K23" i="15"/>
  <c r="A22" i="15"/>
  <c r="F22" i="15"/>
  <c r="I22" i="15"/>
  <c r="J22" i="15"/>
  <c r="K22" i="15"/>
  <c r="A19" i="10"/>
  <c r="A18" i="10" l="1"/>
  <c r="A17" i="10" l="1"/>
  <c r="A54" i="5"/>
  <c r="J54" i="5"/>
  <c r="M54" i="5"/>
  <c r="N54" i="5"/>
  <c r="O54" i="5"/>
  <c r="A53" i="5"/>
  <c r="J53" i="5"/>
  <c r="M53" i="5"/>
  <c r="N53" i="5"/>
  <c r="O53" i="5"/>
  <c r="A16" i="10"/>
  <c r="A52" i="5"/>
  <c r="N52" i="5"/>
  <c r="O52" i="5"/>
  <c r="A51" i="5"/>
  <c r="N51" i="5"/>
  <c r="O51" i="5"/>
  <c r="A15" i="10"/>
  <c r="A50" i="5"/>
  <c r="J50" i="5"/>
  <c r="M50" i="5"/>
  <c r="N50" i="5"/>
  <c r="O50" i="5"/>
  <c r="A49" i="5"/>
  <c r="J49" i="5"/>
  <c r="M49" i="5"/>
  <c r="N49" i="5"/>
  <c r="O49" i="5"/>
  <c r="A14" i="10"/>
  <c r="A48" i="5"/>
  <c r="J48" i="5"/>
  <c r="M48" i="5"/>
  <c r="N48" i="5"/>
  <c r="O48" i="5"/>
  <c r="A47" i="5"/>
  <c r="J47" i="5"/>
  <c r="M47" i="5"/>
  <c r="N47" i="5"/>
  <c r="O47" i="5"/>
  <c r="A46" i="5"/>
  <c r="J46" i="5"/>
  <c r="M46" i="5"/>
  <c r="N46" i="5"/>
  <c r="O46" i="5"/>
  <c r="A45" i="5"/>
  <c r="J45" i="5"/>
  <c r="M45" i="5"/>
  <c r="N45" i="5"/>
  <c r="O45" i="5"/>
  <c r="A13" i="10"/>
  <c r="A12" i="10"/>
  <c r="A44" i="5"/>
  <c r="J44" i="5"/>
  <c r="M44" i="5"/>
  <c r="N44" i="5"/>
  <c r="O44" i="5"/>
  <c r="A43" i="5"/>
  <c r="J43" i="5"/>
  <c r="M43" i="5"/>
  <c r="N43" i="5"/>
  <c r="O43" i="5"/>
  <c r="A11" i="10"/>
  <c r="A42" i="5"/>
  <c r="J42" i="5"/>
  <c r="M42" i="5"/>
  <c r="N42" i="5"/>
  <c r="O42" i="5"/>
  <c r="A41" i="5"/>
  <c r="J41" i="5"/>
  <c r="M41" i="5"/>
  <c r="N41" i="5"/>
  <c r="O41" i="5"/>
  <c r="A10" i="10"/>
  <c r="A9" i="10"/>
  <c r="A40" i="5"/>
  <c r="J40" i="5"/>
  <c r="M40" i="5"/>
  <c r="N40" i="5"/>
  <c r="O40" i="5"/>
  <c r="A21" i="15"/>
  <c r="J21" i="15"/>
  <c r="K21" i="15"/>
  <c r="A8" i="10"/>
  <c r="A39" i="5"/>
  <c r="J39" i="5"/>
  <c r="M39" i="5"/>
  <c r="N39" i="5"/>
  <c r="O39" i="5"/>
  <c r="A12" i="12" l="1"/>
  <c r="A11" i="12"/>
  <c r="A10" i="12" l="1"/>
  <c r="A7" i="10" l="1"/>
  <c r="A38" i="5"/>
  <c r="J38" i="5"/>
  <c r="M38" i="5"/>
  <c r="N38" i="5"/>
  <c r="O38" i="5"/>
  <c r="A6" i="10" l="1"/>
  <c r="A37" i="5"/>
  <c r="J37" i="5"/>
  <c r="M37" i="5"/>
  <c r="N37" i="5"/>
  <c r="O37" i="5"/>
  <c r="A36" i="5" l="1"/>
  <c r="J36" i="5"/>
  <c r="M36" i="5"/>
  <c r="N36" i="5"/>
  <c r="O36" i="5"/>
  <c r="A5" i="10"/>
  <c r="A35" i="5" l="1"/>
  <c r="J35" i="5"/>
  <c r="M35" i="5"/>
  <c r="N35" i="5"/>
  <c r="O35" i="5"/>
  <c r="A34" i="5" l="1"/>
  <c r="J34" i="5"/>
  <c r="M34" i="5"/>
  <c r="N34" i="5"/>
  <c r="O34" i="5"/>
  <c r="A20" i="15" l="1"/>
  <c r="F20" i="15"/>
  <c r="I20" i="15"/>
  <c r="J20" i="15"/>
  <c r="K20" i="15"/>
  <c r="A5" i="13" l="1"/>
  <c r="A4" i="13"/>
  <c r="A18" i="15"/>
  <c r="A19" i="15"/>
  <c r="F18" i="15"/>
  <c r="F19" i="15"/>
  <c r="I18" i="15"/>
  <c r="I19" i="15"/>
  <c r="J18" i="15"/>
  <c r="J19" i="15"/>
  <c r="K18" i="15"/>
  <c r="K19" i="15"/>
  <c r="A4" i="10"/>
  <c r="A9" i="12"/>
  <c r="A17" i="15" l="1"/>
  <c r="F17" i="15"/>
  <c r="I17" i="15"/>
  <c r="J17" i="15"/>
  <c r="K17" i="15"/>
  <c r="A16" i="15"/>
  <c r="F16" i="15"/>
  <c r="I16" i="15"/>
  <c r="J16" i="15"/>
  <c r="K16" i="15"/>
  <c r="A15" i="15"/>
  <c r="F15" i="15"/>
  <c r="I15" i="15"/>
  <c r="J15" i="15"/>
  <c r="K15" i="15"/>
  <c r="A9" i="15" l="1"/>
  <c r="K14" i="15"/>
  <c r="J14" i="15"/>
  <c r="I14" i="15"/>
  <c r="F14" i="15"/>
  <c r="D14" i="15"/>
  <c r="A14" i="15"/>
  <c r="K13" i="15"/>
  <c r="J13" i="15"/>
  <c r="I13" i="15"/>
  <c r="F13" i="15"/>
  <c r="A13" i="15"/>
  <c r="K12" i="15"/>
  <c r="J12" i="15"/>
  <c r="I12" i="15"/>
  <c r="F12" i="15"/>
  <c r="A12" i="15"/>
  <c r="K11" i="15"/>
  <c r="J11" i="15"/>
  <c r="I11" i="15"/>
  <c r="F11" i="15"/>
  <c r="A11" i="15"/>
  <c r="K10" i="15"/>
  <c r="J10" i="15"/>
  <c r="I10" i="15"/>
  <c r="F10" i="15"/>
  <c r="A10" i="15"/>
  <c r="K9" i="15"/>
  <c r="J9" i="15"/>
  <c r="I9" i="15"/>
  <c r="F9" i="15"/>
  <c r="K8" i="15"/>
  <c r="J8" i="15"/>
  <c r="I8" i="15"/>
  <c r="F8" i="15"/>
  <c r="A8" i="15"/>
  <c r="K7" i="15"/>
  <c r="J7" i="15"/>
  <c r="I7" i="15"/>
  <c r="F7" i="15"/>
  <c r="A7" i="15"/>
  <c r="K6" i="15"/>
  <c r="J6" i="15"/>
  <c r="I6" i="15"/>
  <c r="F6" i="15"/>
  <c r="A6" i="15"/>
  <c r="K5" i="15"/>
  <c r="J5" i="15"/>
  <c r="I5" i="15"/>
  <c r="F5" i="15"/>
  <c r="A5" i="15"/>
  <c r="K4" i="15"/>
  <c r="J4" i="15"/>
  <c r="I4" i="15"/>
  <c r="F4" i="15"/>
  <c r="A4" i="15"/>
  <c r="K3" i="15"/>
  <c r="J3" i="15"/>
  <c r="I3" i="15"/>
  <c r="F3" i="15"/>
  <c r="A3" i="15"/>
  <c r="K2" i="15"/>
  <c r="J2" i="15"/>
  <c r="I2" i="15"/>
  <c r="F2" i="15"/>
  <c r="A3" i="13" l="1"/>
  <c r="A2" i="13"/>
  <c r="A8" i="12" l="1"/>
  <c r="A3" i="10" l="1"/>
  <c r="O2" i="5" l="1"/>
  <c r="O3" i="5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N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M2" i="5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A7" i="12" l="1"/>
  <c r="A6" i="12"/>
  <c r="A5" i="12"/>
  <c r="A4" i="12"/>
  <c r="A3" i="12"/>
  <c r="A2" i="12"/>
  <c r="A2" i="10"/>
  <c r="A33" i="5" l="1"/>
  <c r="A32" i="5" l="1"/>
  <c r="A31" i="5" l="1"/>
  <c r="A30" i="5" l="1"/>
  <c r="A29" i="5" l="1"/>
  <c r="A28" i="5"/>
  <c r="A27" i="5"/>
  <c r="A26" i="5"/>
  <c r="A25" i="5" l="1"/>
  <c r="A24" i="5" l="1"/>
  <c r="A22" i="5" l="1"/>
  <c r="A23" i="5"/>
  <c r="A21" i="5"/>
  <c r="A8" i="5"/>
  <c r="A4" i="5"/>
  <c r="A5" i="5"/>
  <c r="A6" i="5"/>
  <c r="A7" i="5"/>
  <c r="A9" i="5"/>
  <c r="A10" i="5"/>
  <c r="A11" i="5"/>
  <c r="A12" i="5"/>
  <c r="A13" i="5"/>
  <c r="A14" i="5"/>
  <c r="A15" i="5"/>
  <c r="A16" i="5"/>
  <c r="A17" i="5"/>
  <c r="A18" i="5"/>
  <c r="A19" i="5"/>
  <c r="A20" i="5"/>
  <c r="A3" i="5"/>
  <c r="A2" i="5"/>
</calcChain>
</file>

<file path=xl/connections.xml><?xml version="1.0" encoding="utf-8"?>
<connections xmlns="http://schemas.openxmlformats.org/spreadsheetml/2006/main">
  <connection id="1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01_Cadastro.xlsm!TabelaPf" type="102" refreshedVersion="6" minRefreshableVersion="5">
    <extLst>
      <ext xmlns:x15="http://schemas.microsoft.com/office/spreadsheetml/2010/11/main" uri="{DE250136-89BD-433C-8126-D09CA5730AF9}">
        <x15:connection id="TabelaPf">
          <x15:rangePr sourceName="_xlcn.WorksheetConnection_01_Cadastro.xlsmTabelaPf"/>
        </x15:connection>
      </ext>
    </extLst>
  </connection>
  <connection id="3" name="WorksheetConnection_01_Cadastro.xlsm!TabelaPf[NOME]" type="102" refreshedVersion="6" minRefreshableVersion="5">
    <extLst>
      <ext xmlns:x15="http://schemas.microsoft.com/office/spreadsheetml/2010/11/main" uri="{DE250136-89BD-433C-8126-D09CA5730AF9}">
        <x15:connection id="TabelaPf NOME" autoDelete="1">
          <x15:rangePr sourceName="_xlcn.WorksheetConnection_01_Cadastro.xlsmTabelaPfNOME"/>
        </x15:connection>
      </ext>
    </extLst>
  </connection>
  <connection id="4" name="WorksheetConnection_01_Cadastro.xlsm!TabelaPj" type="102" refreshedVersion="6" minRefreshableVersion="5">
    <extLst>
      <ext xmlns:x15="http://schemas.microsoft.com/office/spreadsheetml/2010/11/main" uri="{DE250136-89BD-433C-8126-D09CA5730AF9}">
        <x15:connection id="TabelaPj">
          <x15:rangePr sourceName="_xlcn.WorksheetConnection_01_Cadastro.xlsmTabelaPj"/>
        </x15:connection>
      </ext>
    </extLst>
  </connection>
  <connection id="5" name="WorksheetConnection_PF!$B:$B" type="102" refreshedVersion="6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PFBB"/>
        </x15:connection>
      </ext>
    </extLst>
  </connection>
</connections>
</file>

<file path=xl/sharedStrings.xml><?xml version="1.0" encoding="utf-8"?>
<sst xmlns="http://schemas.openxmlformats.org/spreadsheetml/2006/main" count="946" uniqueCount="440">
  <si>
    <t>SSP/SP</t>
  </si>
  <si>
    <t>cliente</t>
  </si>
  <si>
    <t>GFA</t>
  </si>
  <si>
    <t>Gomide</t>
  </si>
  <si>
    <t>15076-270</t>
  </si>
  <si>
    <t>094.362.228-07</t>
  </si>
  <si>
    <t>17.404 636-4</t>
  </si>
  <si>
    <t>46B</t>
  </si>
  <si>
    <t>453.306.108-77</t>
  </si>
  <si>
    <t>40.625.782-6</t>
  </si>
  <si>
    <t>15084-260</t>
  </si>
  <si>
    <t>guilherme.fp97@hotmail.com</t>
  </si>
  <si>
    <t>736.536.284-00</t>
  </si>
  <si>
    <t>74.562.47</t>
  </si>
  <si>
    <t>15085-370</t>
  </si>
  <si>
    <t>brasileiro(a)</t>
  </si>
  <si>
    <t>divorciado(a)</t>
  </si>
  <si>
    <t>solteiro(a)</t>
  </si>
  <si>
    <t>casado(a)</t>
  </si>
  <si>
    <t>cabelereiro(a)</t>
  </si>
  <si>
    <t>desempregado(a)</t>
  </si>
  <si>
    <t>aposentado(a)</t>
  </si>
  <si>
    <t>219.479.688-66</t>
  </si>
  <si>
    <t>29.478.839-6</t>
  </si>
  <si>
    <t>empresário(a)</t>
  </si>
  <si>
    <t>15085-480</t>
  </si>
  <si>
    <t>Bl. 03, Apto 203</t>
  </si>
  <si>
    <t>professor(a)</t>
  </si>
  <si>
    <t>046.928.268-19</t>
  </si>
  <si>
    <t>14.175.170-8</t>
  </si>
  <si>
    <t>15092-240</t>
  </si>
  <si>
    <t>282.103.438-58</t>
  </si>
  <si>
    <t>32.597.485-8</t>
  </si>
  <si>
    <t>07020-201</t>
  </si>
  <si>
    <t>Apto. 174 C</t>
  </si>
  <si>
    <t>973.053.088-20</t>
  </si>
  <si>
    <t>12.605.501-4</t>
  </si>
  <si>
    <t>professor de artes marciais</t>
  </si>
  <si>
    <t>15014-200</t>
  </si>
  <si>
    <t>057.151.158-92</t>
  </si>
  <si>
    <t>23,674,894-4</t>
  </si>
  <si>
    <t>mestre de obras</t>
  </si>
  <si>
    <t>15043-030</t>
  </si>
  <si>
    <t>44.115.661-7</t>
  </si>
  <si>
    <t>advogada</t>
  </si>
  <si>
    <t>15020-010</t>
  </si>
  <si>
    <t>advogado</t>
  </si>
  <si>
    <t>9.392.940-7</t>
  </si>
  <si>
    <t>062.961.838-01</t>
  </si>
  <si>
    <t>engenheiro(a)</t>
  </si>
  <si>
    <t>jldonega@ig.com.br</t>
  </si>
  <si>
    <t>15700-018</t>
  </si>
  <si>
    <t>Apto. 01</t>
  </si>
  <si>
    <t>adverso</t>
  </si>
  <si>
    <t>643.586.318-00</t>
  </si>
  <si>
    <t>16480-023</t>
  </si>
  <si>
    <t>15.598.332/0001-97</t>
  </si>
  <si>
    <t>15025-010</t>
  </si>
  <si>
    <t>Bruno Rafael Climerio Bianchi</t>
  </si>
  <si>
    <t>346.596.008-40</t>
  </si>
  <si>
    <t>41.301.513-0</t>
  </si>
  <si>
    <t>pintor</t>
  </si>
  <si>
    <t>15102-010</t>
  </si>
  <si>
    <t>43.971.607-X</t>
  </si>
  <si>
    <t>333.742.678-66</t>
  </si>
  <si>
    <t>advogado(a)</t>
  </si>
  <si>
    <t>15084-030</t>
  </si>
  <si>
    <t>Apto. 42, Bl. E</t>
  </si>
  <si>
    <t>n/c</t>
  </si>
  <si>
    <t>Rose Birck Louverbek</t>
  </si>
  <si>
    <t>Guilherme Fernando Pereira</t>
  </si>
  <si>
    <t>Marta Cristina Machado Gomes Brancalhão</t>
  </si>
  <si>
    <t>Jonatas Prado Silva</t>
  </si>
  <si>
    <t>Juliana Frata Massimo Gomide</t>
  </si>
  <si>
    <t>José Lourenço Donega</t>
  </si>
  <si>
    <t>Luiz Fumio Shibata</t>
  </si>
  <si>
    <t>Fernando Addiny Ziroldo</t>
  </si>
  <si>
    <t>037.477.808-65</t>
  </si>
  <si>
    <t>viúvo(a)</t>
  </si>
  <si>
    <t>15091-400</t>
  </si>
  <si>
    <t>Frederico Silva Pala</t>
  </si>
  <si>
    <t>380.288.318-77</t>
  </si>
  <si>
    <t>músico</t>
  </si>
  <si>
    <t>Guilherme Silva Pala</t>
  </si>
  <si>
    <t>438. 487. 648-30,</t>
  </si>
  <si>
    <t>15.629.467-9</t>
  </si>
  <si>
    <t>666.348.909-78</t>
  </si>
  <si>
    <t>engenheiro agrônomo</t>
  </si>
  <si>
    <t>18051-892</t>
  </si>
  <si>
    <t>R. N. Locação e Administração de Bens Próprios LTDA.</t>
  </si>
  <si>
    <t>14.213.282/0001-10</t>
  </si>
  <si>
    <t>Roberto Domingues de Oliveira</t>
  </si>
  <si>
    <t>15054-010</t>
  </si>
  <si>
    <t>Rodrigo Junio Silva Santos</t>
  </si>
  <si>
    <t>316.250.958-05</t>
  </si>
  <si>
    <t>15057-522</t>
  </si>
  <si>
    <t>Apto. 231</t>
  </si>
  <si>
    <t>22.366.505/0001-07</t>
  </si>
  <si>
    <t>15060-320</t>
  </si>
  <si>
    <t>53.214.706/0001-12</t>
  </si>
  <si>
    <t>15090-365</t>
  </si>
  <si>
    <t>Sabrina Manelli Giorgi</t>
  </si>
  <si>
    <t>390.726.648-09</t>
  </si>
  <si>
    <t>45.546.129-6</t>
  </si>
  <si>
    <t>15015-400</t>
  </si>
  <si>
    <t>Fabiela Barreto Hortencio</t>
  </si>
  <si>
    <t>229.439.958-78</t>
  </si>
  <si>
    <t>43.401.026-1</t>
  </si>
  <si>
    <t>15025-450</t>
  </si>
  <si>
    <t>43.819.761/0001-82</t>
  </si>
  <si>
    <t>15085-310</t>
  </si>
  <si>
    <t>32.250.230/0001-03</t>
  </si>
  <si>
    <t>15050-190</t>
  </si>
  <si>
    <t>13.485.997/0001-69</t>
  </si>
  <si>
    <t>15080-080</t>
  </si>
  <si>
    <t>47.669.315/0001-90</t>
  </si>
  <si>
    <t>15093-240</t>
  </si>
  <si>
    <t>20.817.747/0001-44</t>
  </si>
  <si>
    <t>15080-090</t>
  </si>
  <si>
    <t>11.271.348/0001-30</t>
  </si>
  <si>
    <t>15050-462</t>
  </si>
  <si>
    <t>63.890.123/0001-65</t>
  </si>
  <si>
    <t>15084-160</t>
  </si>
  <si>
    <t>Sandra Segarra</t>
  </si>
  <si>
    <t>286.365.378-43</t>
  </si>
  <si>
    <t>Fabiano Darc Arantes</t>
  </si>
  <si>
    <t>256.860.028-43</t>
  </si>
  <si>
    <t>15040-647</t>
  </si>
  <si>
    <t>Qd. 11, Lt. 02</t>
  </si>
  <si>
    <t>Roberto Carneiro</t>
  </si>
  <si>
    <t>Rosa Maria Sampaio Yamaoka</t>
  </si>
  <si>
    <t>Rodrigo Alexandro Rossalo</t>
  </si>
  <si>
    <t>15043-530</t>
  </si>
  <si>
    <t>frente</t>
  </si>
  <si>
    <t>autônomo</t>
  </si>
  <si>
    <t>33.534.248-6</t>
  </si>
  <si>
    <t>314.722.598-40</t>
  </si>
  <si>
    <t>018.604.508-57</t>
  </si>
  <si>
    <t>7.999.456-8</t>
  </si>
  <si>
    <t>15084-150</t>
  </si>
  <si>
    <t>Apto. 32</t>
  </si>
  <si>
    <t>Renata Alves Penteado</t>
  </si>
  <si>
    <t>159.358.978-65</t>
  </si>
  <si>
    <t>23.852.826-1</t>
  </si>
  <si>
    <t>gerente</t>
  </si>
  <si>
    <t>Apto. 34 A</t>
  </si>
  <si>
    <t>22.873.157-4</t>
  </si>
  <si>
    <t>102.885.178-22</t>
  </si>
  <si>
    <t>Casa 09 A</t>
  </si>
  <si>
    <t>050.878.268-65</t>
  </si>
  <si>
    <t>9.758.610-9</t>
  </si>
  <si>
    <t>João Luis Baldisera</t>
  </si>
  <si>
    <t>133.050.698-72</t>
  </si>
  <si>
    <t>comerciante</t>
  </si>
  <si>
    <t>15105-000</t>
  </si>
  <si>
    <t>Daiene Santos Buglio</t>
  </si>
  <si>
    <t>326.239.298-74</t>
  </si>
  <si>
    <t>43.719.863-7</t>
  </si>
  <si>
    <t>médico(a)</t>
  </si>
  <si>
    <t>Casa 34</t>
  </si>
  <si>
    <t>44.212.963/0001-24</t>
  </si>
  <si>
    <t>15040-333</t>
  </si>
  <si>
    <t>4560</t>
  </si>
  <si>
    <t>Alexandro de Souza Magnani</t>
  </si>
  <si>
    <t>11.406.539/0001-61</t>
  </si>
  <si>
    <t>15085-300</t>
  </si>
  <si>
    <t>315</t>
  </si>
  <si>
    <t>59.846.808/0001-37</t>
  </si>
  <si>
    <t>15060-020</t>
  </si>
  <si>
    <t>1998</t>
  </si>
  <si>
    <t>326.735.868-06</t>
  </si>
  <si>
    <t>35.054.829-8</t>
  </si>
  <si>
    <t>auxiliar administrativo</t>
  </si>
  <si>
    <t>15407-280</t>
  </si>
  <si>
    <t>63</t>
  </si>
  <si>
    <t>Rodrigo Lustoza Thome Alves</t>
  </si>
  <si>
    <t>274.223.318-01</t>
  </si>
  <si>
    <t>33.249.042-7</t>
  </si>
  <si>
    <t>450</t>
  </si>
  <si>
    <t>Apto. 71, Bl. B</t>
  </si>
  <si>
    <t>005.166.248-57</t>
  </si>
  <si>
    <t>9.926.837-1</t>
  </si>
  <si>
    <t>bancário(a)</t>
  </si>
  <si>
    <t>15500-010</t>
  </si>
  <si>
    <t>4191</t>
  </si>
  <si>
    <t>Apto. 102</t>
  </si>
  <si>
    <t>299</t>
  </si>
  <si>
    <t>VARA</t>
  </si>
  <si>
    <t>COMARCA</t>
  </si>
  <si>
    <t>UF</t>
  </si>
  <si>
    <t>ESCRITORIO</t>
  </si>
  <si>
    <t>ID_PETICOES</t>
  </si>
  <si>
    <t>PECA</t>
  </si>
  <si>
    <t>ATRIBUTOS</t>
  </si>
  <si>
    <t>ID_PETICAO</t>
  </si>
  <si>
    <t>PROCESSO</t>
  </si>
  <si>
    <t>VALORES</t>
  </si>
  <si>
    <t>ID_PJ</t>
  </si>
  <si>
    <t>NOME</t>
  </si>
  <si>
    <t>CNPJ</t>
  </si>
  <si>
    <t>ADMINISTRADOR</t>
  </si>
  <si>
    <t>CEP</t>
  </si>
  <si>
    <t>LOGRADOURO</t>
  </si>
  <si>
    <t>NUMERO</t>
  </si>
  <si>
    <t>COMPLEMENTO</t>
  </si>
  <si>
    <t>BAIRRO</t>
  </si>
  <si>
    <t>CIDADE</t>
  </si>
  <si>
    <t>EMAIL</t>
  </si>
  <si>
    <t>CADASTRO</t>
  </si>
  <si>
    <t>ID_PF</t>
  </si>
  <si>
    <t>CPF</t>
  </si>
  <si>
    <t>RG</t>
  </si>
  <si>
    <t>EXPEDIDOR_RG</t>
  </si>
  <si>
    <t>ESTADO_CIVIL</t>
  </si>
  <si>
    <t>PROFISSAO</t>
  </si>
  <si>
    <t>NACIONALIDADE</t>
  </si>
  <si>
    <t>Geraldo Sabino Da Silva Filho</t>
  </si>
  <si>
    <t>Adriano Henrique Trindade Dos Santos</t>
  </si>
  <si>
    <t>Madalena Do Nascimento</t>
  </si>
  <si>
    <t>Cássia Maria Da Silva</t>
  </si>
  <si>
    <t>Alfredo Gorayb Da Cruz</t>
  </si>
  <si>
    <t>Ana Maria Do Amaral</t>
  </si>
  <si>
    <t>separado(a) judicialmente</t>
  </si>
  <si>
    <t>Elaine Cristina de Oliveira</t>
  </si>
  <si>
    <t>Apto. 37, Bl. América Central</t>
  </si>
  <si>
    <t>17.706.725/0001-00</t>
  </si>
  <si>
    <t>15093-273</t>
  </si>
  <si>
    <t>65</t>
  </si>
  <si>
    <t>Lote 08</t>
  </si>
  <si>
    <t>Patrícia Kelly Ovidio Sancho Pequito</t>
  </si>
  <si>
    <t>S. J. Rio Preto/SP</t>
  </si>
  <si>
    <t>ID_PROCESSOS</t>
  </si>
  <si>
    <t>AUTOR</t>
  </si>
  <si>
    <t>REU</t>
  </si>
  <si>
    <t>TAG</t>
  </si>
  <si>
    <t>03.295.704/0001-27</t>
  </si>
  <si>
    <t>15040-180</t>
  </si>
  <si>
    <t>4605</t>
  </si>
  <si>
    <t>42.552.800/0001-65</t>
  </si>
  <si>
    <t>15070-030</t>
  </si>
  <si>
    <t>200</t>
  </si>
  <si>
    <t>30.570.511/0001-00</t>
  </si>
  <si>
    <t>363</t>
  </si>
  <si>
    <t>BV_Acao-de-cobranca</t>
  </si>
  <si>
    <t>GFA_Execucao-de-condominio</t>
  </si>
  <si>
    <t>GFA_Juntada-de-acordo</t>
  </si>
  <si>
    <t>GFA_Procuracao-de-condominio</t>
  </si>
  <si>
    <t>Gomide_Contrato</t>
  </si>
  <si>
    <t>Gomide_Declaracao-de-carencia</t>
  </si>
  <si>
    <t>Gomide_Procuracao</t>
  </si>
  <si>
    <t>inicial</t>
  </si>
  <si>
    <t>condominio</t>
  </si>
  <si>
    <t>15091-190</t>
  </si>
  <si>
    <t>Unidade_devedora</t>
  </si>
  <si>
    <t>Acordo_data_final;Unidade_devedora;Debito;Honorarios;Custas;Debito_total</t>
  </si>
  <si>
    <t>Unidade_devedora;Matricula_do_imovel;CRI;Debito</t>
  </si>
  <si>
    <t>Unidade_devedora;Matricula_do_imovel;Debito;Honorarios</t>
  </si>
  <si>
    <t>53.210.712/0001-00</t>
  </si>
  <si>
    <t>15015-000</t>
  </si>
  <si>
    <t>3975</t>
  </si>
  <si>
    <t>Condomínio Edifício Antares</t>
  </si>
  <si>
    <t>Ayrton Sanches</t>
  </si>
  <si>
    <t>7ª Vara Cível</t>
  </si>
  <si>
    <t>Fernanda Machado</t>
  </si>
  <si>
    <t>33.841.696-1</t>
  </si>
  <si>
    <t>dentista</t>
  </si>
  <si>
    <t>Apto. 112</t>
  </si>
  <si>
    <t>1037730-46.2023.8.26.0576</t>
  </si>
  <si>
    <t>Elcy Larangeira Soares Bassan</t>
  </si>
  <si>
    <t>974.538.038-53</t>
  </si>
  <si>
    <t>219.956.748-69</t>
  </si>
  <si>
    <t>9.617.434-1</t>
  </si>
  <si>
    <t>Apto. 151</t>
  </si>
  <si>
    <t>1037845-67.2023.8.26.0576</t>
  </si>
  <si>
    <t>Edifício Anthuriums Place</t>
  </si>
  <si>
    <t>Thaiza Helena Rosan Fortunato</t>
  </si>
  <si>
    <t>159.355.758-25</t>
  </si>
  <si>
    <t>22.583.989-1</t>
  </si>
  <si>
    <t>15080-210</t>
  </si>
  <si>
    <t>2340</t>
  </si>
  <si>
    <t>Apto. 12</t>
  </si>
  <si>
    <t>Luiz Carlos Vieira</t>
  </si>
  <si>
    <t>253.606.708-43</t>
  </si>
  <si>
    <t>29.208.944-2</t>
  </si>
  <si>
    <t>técnico(a) de enfermagem</t>
  </si>
  <si>
    <t>15091-300</t>
  </si>
  <si>
    <t>199</t>
  </si>
  <si>
    <t>Apto. 21</t>
  </si>
  <si>
    <t>Roberto Espacassassi</t>
  </si>
  <si>
    <t>15042-018</t>
  </si>
  <si>
    <t>1641</t>
  </si>
  <si>
    <t>121.709.038-01</t>
  </si>
  <si>
    <t>Gomide_Robertinho_Aluguel-fiador</t>
  </si>
  <si>
    <t>Gomide_Robertinho_Aluguel-caucao</t>
  </si>
  <si>
    <t>Sala;Vigencia;Valor</t>
  </si>
  <si>
    <t>Gomide_Robertinho_Entrega-chaves</t>
  </si>
  <si>
    <t>IVAN CAMILO GASPAR</t>
  </si>
  <si>
    <t>29.573.658-6</t>
  </si>
  <si>
    <t>supervisor(a)</t>
  </si>
  <si>
    <t>282.100.498-28</t>
  </si>
  <si>
    <t>15040-365</t>
  </si>
  <si>
    <t>881</t>
  </si>
  <si>
    <t>Apto. 33A</t>
  </si>
  <si>
    <t>BV</t>
  </si>
  <si>
    <t>Associação dos Proprietários em Bella Vitta Monte Líbano</t>
  </si>
  <si>
    <t>14.788.252/0001-31</t>
  </si>
  <si>
    <t>Rafael Vieira Clara</t>
  </si>
  <si>
    <t>15115-000</t>
  </si>
  <si>
    <t>Rua Treze</t>
  </si>
  <si>
    <t>451</t>
  </si>
  <si>
    <t>Jacutinga</t>
  </si>
  <si>
    <t>LINCOLN EMIDIO DA SILVA</t>
  </si>
  <si>
    <t>33.044.466-9</t>
  </si>
  <si>
    <t>317.823.178-13</t>
  </si>
  <si>
    <t>profissão desconhecida</t>
  </si>
  <si>
    <t>15091-210</t>
  </si>
  <si>
    <t>323</t>
  </si>
  <si>
    <t>Angela Vieira Melgar Paschoalão</t>
  </si>
  <si>
    <t>003.161.470-10</t>
  </si>
  <si>
    <t>relações públicas</t>
  </si>
  <si>
    <t>15063-102</t>
  </si>
  <si>
    <t>2012</t>
  </si>
  <si>
    <t>Quadra S, Lote 18</t>
  </si>
  <si>
    <t>JOÃO LUIS NICOLAU</t>
  </si>
  <si>
    <t>325.545.228-71</t>
  </si>
  <si>
    <t>vendedor(a)</t>
  </si>
  <si>
    <t>15041-642</t>
  </si>
  <si>
    <t>487</t>
  </si>
  <si>
    <t>GUSTAVO MARTINS</t>
  </si>
  <si>
    <t>321.401.808-60</t>
  </si>
  <si>
    <t>técnico(a) em laboratório</t>
  </si>
  <si>
    <t>15085-360</t>
  </si>
  <si>
    <t>690</t>
  </si>
  <si>
    <t>Apto. 11, Bl. B</t>
  </si>
  <si>
    <t>CAROLINA TOMAZ ORLANDO MARTINS</t>
  </si>
  <si>
    <t>42.426.101-7</t>
  </si>
  <si>
    <t>350.868.808-90</t>
  </si>
  <si>
    <t>consultor(a)</t>
  </si>
  <si>
    <t>DANILA BORGES DEL RIOS QUINTILIANO</t>
  </si>
  <si>
    <t>ULISSES MATEUS QUINTILIANO</t>
  </si>
  <si>
    <t>42.634.990-8</t>
  </si>
  <si>
    <t>369.373.018-04</t>
  </si>
  <si>
    <t>355.339.208-89</t>
  </si>
  <si>
    <t>15047-090</t>
  </si>
  <si>
    <t>310</t>
  </si>
  <si>
    <t>RUBEM DE OLIVEIRA BOTTAS NETTO</t>
  </si>
  <si>
    <t>25.638.861-3</t>
  </si>
  <si>
    <t>256.048.938-46</t>
  </si>
  <si>
    <t>15090-370</t>
  </si>
  <si>
    <t>2675</t>
  </si>
  <si>
    <t>Sala 111B, Torre Milan Norte</t>
  </si>
  <si>
    <t>CECILIA SALAZAR GARCIA BOTTAS</t>
  </si>
  <si>
    <t>229.357.448-29</t>
  </si>
  <si>
    <t>54.944.578-X</t>
  </si>
  <si>
    <t>15061-850</t>
  </si>
  <si>
    <t>3001</t>
  </si>
  <si>
    <t>Quadra Z3, Lote 03</t>
  </si>
  <si>
    <t>Espólio de Denilson Bernardes Dias</t>
  </si>
  <si>
    <t>50.045.161-8</t>
  </si>
  <si>
    <t>555.933.646-72</t>
  </si>
  <si>
    <t>15056-060</t>
  </si>
  <si>
    <t>505</t>
  </si>
  <si>
    <t>casa 154, Athenas</t>
  </si>
  <si>
    <t>SUELI APARECIDA RODRIGUES</t>
  </si>
  <si>
    <t>SSP/MG</t>
  </si>
  <si>
    <t>417.086.876-53</t>
  </si>
  <si>
    <t>DANIEL OLIVEIRA DA SILVA</t>
  </si>
  <si>
    <t>30.041.635-0</t>
  </si>
  <si>
    <t>272.975.968-92</t>
  </si>
  <si>
    <t>administrador(a)</t>
  </si>
  <si>
    <t>SHEILA CRISTINA DE MORAES SILVA</t>
  </si>
  <si>
    <t>44.146.826-3</t>
  </si>
  <si>
    <t>326.175.928-39</t>
  </si>
  <si>
    <t>15110-000</t>
  </si>
  <si>
    <t>Rua Vanda Arcos</t>
  </si>
  <si>
    <t>314</t>
  </si>
  <si>
    <t>Conj. Habitacional Ribeirão Claro</t>
  </si>
  <si>
    <t>NILDO FERREIRA BRAGA</t>
  </si>
  <si>
    <t>133.359.618-97</t>
  </si>
  <si>
    <t>15137-372</t>
  </si>
  <si>
    <t>38-035</t>
  </si>
  <si>
    <t>SOUSIMEIRE MARTINS BRAGA</t>
  </si>
  <si>
    <t>133.510.428-33</t>
  </si>
  <si>
    <t>22.584.730-9</t>
  </si>
  <si>
    <t>do lar</t>
  </si>
  <si>
    <t>DATA_INICIAL</t>
  </si>
  <si>
    <t>CUSTAS_RECOLHIDAS</t>
  </si>
  <si>
    <t>CUSTAS</t>
  </si>
  <si>
    <t>Condomínio Mon Village</t>
  </si>
  <si>
    <t>ED. RESIDENCIAL VILLA ITALIA</t>
  </si>
  <si>
    <t>11.193.736/0001-40</t>
  </si>
  <si>
    <t>1653</t>
  </si>
  <si>
    <t>15603-392</t>
  </si>
  <si>
    <t>GILBERTO JOÃO APARECIDO DE ARAÚJO</t>
  </si>
  <si>
    <t>ANA EMILIA PADILHA ANSELMO DE MOURA</t>
  </si>
  <si>
    <t>CONDOMINIO E EDIFICIO APOLO</t>
  </si>
  <si>
    <t>63.889.935/0001-90</t>
  </si>
  <si>
    <t>15091-200</t>
  </si>
  <si>
    <t>151</t>
  </si>
  <si>
    <t>PETICOES_PROTOCOLADAS</t>
  </si>
  <si>
    <t>DATA_PROTOCOLO</t>
  </si>
  <si>
    <t>Edificio Residencial Juliana Paula</t>
  </si>
  <si>
    <t>Condominio Residencial Malibú</t>
  </si>
  <si>
    <t>Residencial Miosotis</t>
  </si>
  <si>
    <t>Associação Residencial Fenix</t>
  </si>
  <si>
    <t>Condominio Edificio Residencial Atlas</t>
  </si>
  <si>
    <t>Centro Empresarial Cedro</t>
  </si>
  <si>
    <t>Condominio Residencial Euroville Residence</t>
  </si>
  <si>
    <t>Condomínio Edifício Três Américas</t>
  </si>
  <si>
    <t>Residencial Luiz Volpi</t>
  </si>
  <si>
    <t>Condominio Residencial Mirassol</t>
  </si>
  <si>
    <t>Condominio Edificio Egidio Vetorazzo</t>
  </si>
  <si>
    <t>Condominio Edificio Melissa</t>
  </si>
  <si>
    <t>Edificio Vivare Residence</t>
  </si>
  <si>
    <t>Residencial Luiz Roberto Luize</t>
  </si>
  <si>
    <t>Vida &amp; Filhos Participações Ltda</t>
  </si>
  <si>
    <t>José Carlos Pereira</t>
  </si>
  <si>
    <t>NOME_MODELO</t>
  </si>
  <si>
    <t>Cliente</t>
  </si>
  <si>
    <t>SEXO</t>
  </si>
  <si>
    <t>Neuci de Carvalho</t>
  </si>
  <si>
    <t>Zildo Pereira de Moraes</t>
  </si>
  <si>
    <t>Maria Helena Rossi da Silva Pala</t>
  </si>
  <si>
    <t>Márcio de Camargo Pala</t>
  </si>
  <si>
    <t>Renan Gabriel de Oliveira</t>
  </si>
  <si>
    <t>PESSOAS</t>
  </si>
  <si>
    <t>Autor;Reu</t>
  </si>
  <si>
    <t>GFA_Termo-de-acordo-judicial</t>
  </si>
  <si>
    <t>Locador;Locatario;Fiador</t>
  </si>
  <si>
    <t>Locador;Locatario</t>
  </si>
  <si>
    <t>12B</t>
  </si>
  <si>
    <t>PARTES</t>
  </si>
  <si>
    <t>VALOR_ACAO</t>
  </si>
  <si>
    <t>Reu</t>
  </si>
  <si>
    <t>12;123;44;33</t>
  </si>
  <si>
    <t>12A;12.123;2;125,14</t>
  </si>
  <si>
    <t>Residencial Miosotis,GUSTAVO MARTINS</t>
  </si>
  <si>
    <t>Residencial Miosotis;GUSTAVO MARTINS,Associação Residencial Fenix</t>
  </si>
  <si>
    <t>GFA_Procuracao-processo-especifico</t>
  </si>
  <si>
    <t>Processo;Comarca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</si>
</sst>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&quot;.&quot;###&quot;.&quot;###&quot;/&quot;####&quot;-&quot;##"/>
    <numFmt numFmtId="165" formatCode="00000\-000"/>
    <numFmt numFmtId="166" formatCode="###&quot;.&quot;###&quot;.&quot;###&quot;-&quot;##"/>
  </numFmts>
  <fonts count="7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2">
    <xf numFmtId="0" fontId="0" fillId="0" borderId="0" xfId="0"/>
    <xf numFmtId="3" fontId="0" fillId="0" borderId="0" xfId="0" applyNumberFormat="1"/>
    <xf numFmtId="0" fontId="1" fillId="2" borderId="0" xfId="0" applyNumberFormat="1" applyFont="1" applyFill="1" applyBorder="1"/>
    <xf numFmtId="0" fontId="1" fillId="2" borderId="4" xfId="0" applyNumberFormat="1" applyFont="1" applyFill="1" applyBorder="1"/>
    <xf numFmtId="0" fontId="1" fillId="2" borderId="5" xfId="0" applyNumberFormat="1" applyFont="1" applyFill="1" applyBorder="1"/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7" xfId="0" applyNumberFormat="1" applyFont="1" applyFill="1" applyBorder="1"/>
    <xf numFmtId="0" fontId="1" fillId="2" borderId="8" xfId="0" applyNumberFormat="1" applyFont="1" applyFill="1" applyBorder="1"/>
    <xf numFmtId="0" fontId="2" fillId="3" borderId="3" xfId="0" applyNumberFormat="1" applyFont="1" applyFill="1" applyBorder="1"/>
    <xf numFmtId="0" fontId="0" fillId="0" borderId="3" xfId="0" applyNumberFormat="1" applyBorder="1" applyAlignment="1">
      <alignment horizontal="center"/>
    </xf>
    <xf numFmtId="0" fontId="0" fillId="0" borderId="0" xfId="0" applyAlignment="1"/>
    <xf numFmtId="0" fontId="1" fillId="2" borderId="4" xfId="0" applyNumberFormat="1" applyFont="1" applyFill="1" applyBorder="1" applyAlignment="1"/>
    <xf numFmtId="3" fontId="0" fillId="0" borderId="3" xfId="0" applyNumberFormat="1" applyBorder="1" applyAlignment="1">
      <alignment horizontal="center"/>
    </xf>
    <xf numFmtId="0" fontId="0" fillId="0" borderId="3" xfId="0" applyNumberFormat="1" applyBorder="1" applyAlignment="1"/>
    <xf numFmtId="49" fontId="0" fillId="0" borderId="0" xfId="0" applyNumberFormat="1"/>
    <xf numFmtId="0" fontId="0" fillId="0" borderId="1" xfId="0" applyNumberFormat="1" applyBorder="1" applyAlignment="1">
      <alignment horizontal="center"/>
    </xf>
    <xf numFmtId="0" fontId="0" fillId="0" borderId="1" xfId="0" applyNumberFormat="1" applyBorder="1" applyAlignment="1"/>
    <xf numFmtId="0" fontId="0" fillId="0" borderId="1" xfId="0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1" fillId="2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49" fontId="1" fillId="2" borderId="8" xfId="0" applyNumberFormat="1" applyFont="1" applyFill="1" applyBorder="1"/>
    <xf numFmtId="0" fontId="0" fillId="0" borderId="6" xfId="0" applyNumberFormat="1" applyBorder="1" applyAlignment="1">
      <alignment horizontal="center"/>
    </xf>
    <xf numFmtId="49" fontId="1" fillId="2" borderId="4" xfId="0" applyNumberFormat="1" applyFont="1" applyFill="1" applyBorder="1"/>
    <xf numFmtId="49" fontId="0" fillId="0" borderId="1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5" fontId="1" fillId="2" borderId="4" xfId="0" applyNumberFormat="1" applyFont="1" applyFill="1" applyBorder="1"/>
    <xf numFmtId="165" fontId="0" fillId="0" borderId="3" xfId="0" applyNumberFormat="1" applyBorder="1" applyAlignment="1">
      <alignment horizontal="center"/>
    </xf>
    <xf numFmtId="165" fontId="0" fillId="0" borderId="0" xfId="0" applyNumberFormat="1"/>
    <xf numFmtId="166" fontId="1" fillId="2" borderId="4" xfId="0" applyNumberFormat="1" applyFont="1" applyFill="1" applyBorder="1"/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0" xfId="0" applyNumberFormat="1"/>
    <xf numFmtId="165" fontId="0" fillId="0" borderId="1" xfId="0" applyNumberFormat="1" applyBorder="1" applyAlignment="1">
      <alignment horizontal="center"/>
    </xf>
    <xf numFmtId="0" fontId="1" fillId="2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1" fillId="2" borderId="4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49" fontId="0" fillId="0" borderId="3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3" xfId="0" applyNumberFormat="1" applyBorder="1" applyAlignment="1"/>
    <xf numFmtId="49" fontId="0" fillId="0" borderId="0" xfId="0" applyNumberFormat="1" applyAlignment="1"/>
    <xf numFmtId="0" fontId="0" fillId="4" borderId="1" xfId="0" applyNumberFormat="1" applyFill="1" applyBorder="1" applyAlignment="1">
      <alignment horizontal="center"/>
    </xf>
    <xf numFmtId="164" fontId="2" fillId="5" borderId="3" xfId="0" applyNumberFormat="1" applyFont="1" applyFill="1" applyBorder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3" xfId="0" applyNumberFormat="1" applyFill="1" applyBorder="1" applyAlignment="1">
      <alignment horizontal="center"/>
    </xf>
    <xf numFmtId="49" fontId="2" fillId="5" borderId="3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0" xfId="0" applyFill="1"/>
    <xf numFmtId="3" fontId="0" fillId="4" borderId="0" xfId="0" applyNumberFormat="1" applyFill="1"/>
    <xf numFmtId="0" fontId="0" fillId="4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4" fillId="2" borderId="0" xfId="0" applyNumberFormat="1" applyFont="1" applyFill="1"/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3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left"/>
    </xf>
    <xf numFmtId="0" fontId="0" fillId="0" borderId="9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1" fillId="2" borderId="4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0" fontId="5" fillId="0" borderId="0" xfId="0" applyFont="1"/>
    <xf numFmtId="49" fontId="1" fillId="2" borderId="4" xfId="0" applyNumberFormat="1" applyFont="1" applyFill="1" applyBorder="1" applyAlignment="1">
      <alignment horizontal="center" vertical="center"/>
    </xf>
    <xf numFmtId="49" fontId="2" fillId="5" borderId="3" xfId="0" applyNumberFormat="1" applyFont="1" applyFill="1" applyBorder="1" applyAlignment="1">
      <alignment horizontal="center" vertical="center"/>
    </xf>
    <xf numFmtId="49" fontId="0" fillId="0" borderId="3" xfId="0" applyNumberFormat="1" applyFont="1" applyBorder="1" applyAlignment="1">
      <alignment horizontal="center" vertical="center"/>
    </xf>
    <xf numFmtId="49" fontId="0" fillId="4" borderId="3" xfId="0" applyNumberForma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49" fontId="3" fillId="0" borderId="2" xfId="1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3" xfId="0" applyNumberFormat="1" applyFont="1" applyBorder="1" applyAlignment="1"/>
    <xf numFmtId="0" fontId="6" fillId="2" borderId="0" xfId="0" applyNumberFormat="1" applyFont="1" applyFill="1"/>
    <xf numFmtId="0" fontId="6" fillId="2" borderId="9" xfId="0" applyNumberFormat="1" applyFont="1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0" fontId="0" fillId="5" borderId="3" xfId="0" applyNumberFormat="1" applyFont="1" applyFill="1" applyBorder="1"/>
    <xf numFmtId="14" fontId="0" fillId="0" borderId="0" xfId="0" applyNumberFormat="1" applyAlignment="1">
      <alignment horizontal="center"/>
    </xf>
    <xf numFmtId="0" fontId="6" fillId="2" borderId="10" xfId="0" applyNumberFormat="1" applyFont="1" applyFill="1" applyBorder="1"/>
  </cellXfs>
  <cellStyles count="2">
    <cellStyle name="Hiperlink" xfId="1" builtinId="8"/>
    <cellStyle name="Normal" xfId="0" builtinId="0"/>
  </cellStyles>
  <dxfs count="71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##&quot;.&quot;###&quot;.&quot;###&quot;/&quot;####&quot;-&quot;##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00000\-0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###&quot;.&quot;###&quot;.&quot;###&quot;-&quot;##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elaPf" displayName="TabelaPf" ref="A1:T54" totalsRowShown="0" headerRowDxfId="70" dataDxfId="69" tableBorderDxfId="68">
  <autoFilter ref="A1:T54"/>
  <tableColumns count="20">
    <tableColumn id="1" name="ID_PF" dataDxfId="67">
      <calculatedColumnFormula>ROW(A1 )</calculatedColumnFormula>
    </tableColumn>
    <tableColumn id="3" name="NOME" dataDxfId="66"/>
    <tableColumn id="4" name="CPF" dataDxfId="65"/>
    <tableColumn id="5" name="RG" dataDxfId="64"/>
    <tableColumn id="6" name="EXPEDIDOR_RG" dataDxfId="63"/>
    <tableColumn id="7" name="ESTADO_CIVIL" dataDxfId="62"/>
    <tableColumn id="8" name="PROFISSAO" dataDxfId="61"/>
    <tableColumn id="9" name="NACIONALIDADE" dataDxfId="60"/>
    <tableColumn id="10" name="CEP" dataDxfId="59"/>
    <tableColumn id="11" name="LOGRADOURO" dataDxfId="58">
      <calculatedColumnFormula>_xlfn.FILTERXML(_xlfn.WEBSERVICE("viacep.com.br/ws/"&amp;TabelaPf[[#This Row],[CEP]]&amp;"/xml/"),"//logradouro")</calculatedColumnFormula>
    </tableColumn>
    <tableColumn id="12" name="NUMERO" dataDxfId="57"/>
    <tableColumn id="13" name="COMPLEMENTO" dataDxfId="56"/>
    <tableColumn id="14" name="BAIRRO" dataDxfId="55">
      <calculatedColumnFormula>_xlfn.FILTERXML(_xlfn.WEBSERVICE("viacep.com.br/ws/"&amp;TabelaPf[[#This Row],[CEP]]&amp;"/xml/"),"//bairro")</calculatedColumnFormula>
    </tableColumn>
    <tableColumn id="15" name="CIDADE" dataDxfId="54">
      <calculatedColumnFormula>_xlfn.FILTERXML(_xlfn.WEBSERVICE("viacep.com.br/ws/"&amp;TabelaPf[[#This Row],[CEP]]&amp;"/xml/"),"//localidade")</calculatedColumnFormula>
    </tableColumn>
    <tableColumn id="16" name="UF" dataDxfId="53">
      <calculatedColumnFormula>_xlfn.FILTERXML(_xlfn.WEBSERVICE("viacep.com.br/ws/"&amp;TabelaPf[[#This Row],[CEP]]&amp;"/xml/"),"//uf")</calculatedColumnFormula>
    </tableColumn>
    <tableColumn id="17" name="EMAIL" dataDxfId="52"/>
    <tableColumn id="20" name="SEXO" dataDxfId="51"/>
    <tableColumn id="18" name="ESCRITORIO" dataDxfId="50"/>
    <tableColumn id="19" name="CADASTRO" dataDxfId="49"/>
    <tableColumn id="2" name="TAG" dataDxfId="4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TabelaPj" displayName="TabelaPj" ref="A1:O23" totalsRowShown="0" headerRowDxfId="47" dataDxfId="46" tableBorderDxfId="45">
  <autoFilter ref="A1:O23"/>
  <tableColumns count="15">
    <tableColumn id="1" name="ID_PJ" dataDxfId="44">
      <calculatedColumnFormula>ROW(A1 )</calculatedColumnFormula>
    </tableColumn>
    <tableColumn id="2" name="NOME" dataDxfId="43"/>
    <tableColumn id="3" name="CNPJ" dataDxfId="42"/>
    <tableColumn id="4" name="ADMINISTRADOR" dataDxfId="41"/>
    <tableColumn id="9" name="CEP" dataDxfId="40"/>
    <tableColumn id="10" name="LOGRADOURO" dataDxfId="39">
      <calculatedColumnFormula>_xlfn.FILTERXML(_xlfn.WEBSERVICE("viacep.com.br/ws/"&amp;TabelaPj[[#This Row],[CEP]]&amp;"/xml/"),"//logradouro")</calculatedColumnFormula>
    </tableColumn>
    <tableColumn id="11" name="NUMERO" dataDxfId="38"/>
    <tableColumn id="12" name="COMPLEMENTO" dataDxfId="37"/>
    <tableColumn id="13" name="BAIRRO" dataDxfId="36">
      <calculatedColumnFormula>_xlfn.FILTERXML(_xlfn.WEBSERVICE("viacep.com.br/ws/"&amp;TabelaPj[[#This Row],[CEP]]&amp;"/xml/"),"//bairro")</calculatedColumnFormula>
    </tableColumn>
    <tableColumn id="14" name="CIDADE" dataDxfId="35">
      <calculatedColumnFormula>_xlfn.FILTERXML(_xlfn.WEBSERVICE("viacep.com.br/ws/"&amp;TabelaPj[[#This Row],[CEP]]&amp;"/xml/"),"//localidade")</calculatedColumnFormula>
    </tableColumn>
    <tableColumn id="15" name="UF" dataDxfId="34">
      <calculatedColumnFormula>_xlfn.FILTERXML(_xlfn.WEBSERVICE("viacep.com.br/ws/"&amp;TabelaPj[[#This Row],[CEP]]&amp;"/xml/"),"//uf")</calculatedColumnFormula>
    </tableColumn>
    <tableColumn id="17" name="EMAIL" dataDxfId="33"/>
    <tableColumn id="18" name="ESCRITORIO" dataDxfId="32"/>
    <tableColumn id="16" name="CADASTRO" dataDxfId="31"/>
    <tableColumn id="5" name="TAG" dataDxfId="3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elaProcessos" displayName="TabelaProcessos" ref="A1:J5" totalsRowShown="0" headerRowDxfId="29" dataDxfId="28" tableBorderDxfId="27">
  <autoFilter ref="A1:J5"/>
  <tableColumns count="10">
    <tableColumn id="1" name="ID_PROCESSOS" dataDxfId="26">
      <calculatedColumnFormula>ROW(A1 )</calculatedColumnFormula>
    </tableColumn>
    <tableColumn id="2" name="PROCESSO" dataDxfId="25"/>
    <tableColumn id="7" name="VARA" dataDxfId="24"/>
    <tableColumn id="5" name="COMARCA" dataDxfId="23"/>
    <tableColumn id="3" name="AUTOR" dataDxfId="22"/>
    <tableColumn id="4" name="REU" dataDxfId="21">
      <calculatedColumnFormula>VLOOKUP(E2,Modelos!B:D,2,FALSE)</calculatedColumnFormula>
    </tableColumn>
    <tableColumn id="6" name="DATA_INICIAL" dataDxfId="20"/>
    <tableColumn id="10" name="VALOR_ACAO" dataDxfId="19"/>
    <tableColumn id="8" name="CUSTAS_RECOLHIDAS" dataDxfId="18"/>
    <tableColumn id="9" name="PETICOES_PROTOCOLADAS" dataDxfId="1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elaPeticoes" displayName="TabelaPeticoes" ref="A1:G21" totalsRowShown="0" headerRowDxfId="16" dataDxfId="15" tableBorderDxfId="14">
  <autoFilter ref="A1:G21"/>
  <tableColumns count="7">
    <tableColumn id="1" name="ID_PETICAO" dataDxfId="13">
      <calculatedColumnFormula>ROW(A1 )</calculatedColumnFormula>
    </tableColumn>
    <tableColumn id="2" name="PROCESSO" dataDxfId="12"/>
    <tableColumn id="3" name="PECA" dataDxfId="11"/>
    <tableColumn id="4" name="PESSOAS" dataDxfId="10">
      <calculatedColumnFormula>VLOOKUP(C2,Modelos!B:D,2,FALSE)</calculatedColumnFormula>
    </tableColumn>
    <tableColumn id="6" name="VALORES" dataDxfId="9">
      <calculatedColumnFormula>VLOOKUP(C2,Modelos!B:E,3,FALSE)</calculatedColumnFormula>
    </tableColumn>
    <tableColumn id="8" name="CUSTAS" dataDxfId="8"/>
    <tableColumn id="9" name="DATA_PROTOCOLO" dataDxfId="7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7" name="TabelaModelos" displayName="TabelaModelos" ref="A1:D13" totalsRowShown="0" headerRowDxfId="6" dataDxfId="5" tableBorderDxfId="4">
  <autoFilter ref="A1:D13"/>
  <tableColumns count="4">
    <tableColumn id="1" name="ID_PETICOES" dataDxfId="3">
      <calculatedColumnFormula>ROW(A1 )</calculatedColumnFormula>
    </tableColumn>
    <tableColumn id="2" name="NOME_MODELO" dataDxfId="2"/>
    <tableColumn id="4" name="PARTES" dataDxfId="1"/>
    <tableColumn id="3" name="ATRIBU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a:spPr>
      <a:bodyPr vertOverflow="clip" horzOverflow="clip" rtlCol="0" anchor="ctr"/>
      <a:lstStyle>
        <a:defPPr algn="ctr">
          <a:defRPr sz="12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jldonega@ig.com.br" TargetMode="External"/><Relationship Id="rId1" Type="http://schemas.openxmlformats.org/officeDocument/2006/relationships/hyperlink" Target="mailto:guilherme.fp97@hotmail.com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eticao"/>
  <dimension ref="A1:AD54"/>
  <sheetViews>
    <sheetView topLeftCell="A49" zoomScaleNormal="100" workbookViewId="0">
      <pane xSplit="2" topLeftCell="C1" activePane="topRight" state="frozen"/>
      <selection pane="topRight" activeCell="B43" sqref="B43"/>
    </sheetView>
  </sheetViews>
  <sheetFormatPr defaultRowHeight="14.25" x14ac:dyDescent="0.45"/>
  <cols>
    <col min="1" max="1" width="6.06640625" customWidth="1"/>
    <col min="2" max="2" width="39.59765625" bestFit="1" customWidth="1"/>
    <col min="3" max="3" width="16.73046875" style="36" bestFit="1" customWidth="1"/>
    <col min="4" max="4" width="15.1328125" bestFit="1" customWidth="1"/>
    <col min="5" max="5" width="7.59765625" customWidth="1"/>
    <col min="6" max="6" width="12.265625" customWidth="1"/>
    <col min="7" max="7" width="17.3984375" customWidth="1"/>
    <col min="8" max="8" width="12.265625" customWidth="1"/>
    <col min="9" max="9" width="12.59765625" style="32" bestFit="1" customWidth="1"/>
    <col min="10" max="10" width="35.1328125" bestFit="1" customWidth="1"/>
    <col min="11" max="11" width="7.73046875" style="15" customWidth="1"/>
    <col min="12" max="12" width="26.73046875" bestFit="1" customWidth="1"/>
    <col min="13" max="13" width="37" bestFit="1" customWidth="1"/>
    <col min="14" max="14" width="21.86328125" customWidth="1"/>
    <col min="15" max="15" width="5.1328125" customWidth="1"/>
    <col min="16" max="16" width="28.3984375" customWidth="1"/>
    <col min="17" max="17" width="7.6640625" bestFit="1" customWidth="1"/>
    <col min="18" max="18" width="12.1328125" customWidth="1"/>
    <col min="19" max="19" width="12.86328125" customWidth="1"/>
  </cols>
  <sheetData>
    <row r="1" spans="1:30" ht="15.75" x14ac:dyDescent="0.5">
      <c r="A1" s="2" t="s">
        <v>209</v>
      </c>
      <c r="B1" s="12" t="s">
        <v>198</v>
      </c>
      <c r="C1" s="33" t="s">
        <v>210</v>
      </c>
      <c r="D1" s="3" t="s">
        <v>211</v>
      </c>
      <c r="E1" s="3" t="s">
        <v>212</v>
      </c>
      <c r="F1" s="3" t="s">
        <v>213</v>
      </c>
      <c r="G1" s="3" t="s">
        <v>214</v>
      </c>
      <c r="H1" s="3" t="s">
        <v>215</v>
      </c>
      <c r="I1" s="30" t="s">
        <v>201</v>
      </c>
      <c r="J1" s="3" t="s">
        <v>202</v>
      </c>
      <c r="K1" s="26" t="s">
        <v>203</v>
      </c>
      <c r="L1" s="3" t="s">
        <v>204</v>
      </c>
      <c r="M1" s="3" t="s">
        <v>205</v>
      </c>
      <c r="N1" s="3" t="s">
        <v>206</v>
      </c>
      <c r="O1" s="3" t="s">
        <v>189</v>
      </c>
      <c r="P1" s="3" t="s">
        <v>207</v>
      </c>
      <c r="Q1" s="3" t="s">
        <v>419</v>
      </c>
      <c r="R1" s="3" t="s">
        <v>190</v>
      </c>
      <c r="S1" s="4" t="s">
        <v>208</v>
      </c>
      <c r="T1" s="56" t="s">
        <v>234</v>
      </c>
    </row>
    <row r="2" spans="1:30" x14ac:dyDescent="0.45">
      <c r="A2" s="27">
        <f>ROW(A1 )</f>
        <v>1</v>
      </c>
      <c r="B2" s="17" t="s">
        <v>123</v>
      </c>
      <c r="C2" s="34" t="s">
        <v>124</v>
      </c>
      <c r="D2" s="19">
        <v>30213985</v>
      </c>
      <c r="E2" s="18" t="s">
        <v>0</v>
      </c>
      <c r="F2" s="18" t="s">
        <v>18</v>
      </c>
      <c r="G2" s="18" t="s">
        <v>20</v>
      </c>
      <c r="H2" s="18" t="s">
        <v>15</v>
      </c>
      <c r="I2" s="37" t="s">
        <v>127</v>
      </c>
      <c r="J2" s="5" t="str">
        <f>_xlfn.FILTERXML(_xlfn.WEBSERVICE("viacep.com.br/ws/"&amp;TabelaPf[[#This Row],[CEP]]&amp;"/xml/"),"//logradouro")</f>
        <v>Rua Reginaldo Waitman</v>
      </c>
      <c r="K2" s="27" t="s">
        <v>186</v>
      </c>
      <c r="L2" s="18" t="s">
        <v>128</v>
      </c>
      <c r="M2" s="5" t="str">
        <f>_xlfn.FILTERXML(_xlfn.WEBSERVICE("viacep.com.br/ws/"&amp;TabelaPf[[#This Row],[CEP]]&amp;"/xml/"),"//bairro")</f>
        <v>Residencial Ary Attab</v>
      </c>
      <c r="N2" s="5" t="str">
        <f>_xlfn.FILTERXML(_xlfn.WEBSERVICE("viacep.com.br/ws/"&amp;TabelaPf[[#This Row],[CEP]]&amp;"/xml/"),"//localidade")</f>
        <v>São José do Rio Preto</v>
      </c>
      <c r="O2" s="5" t="str">
        <f>_xlfn.FILTERXML(_xlfn.WEBSERVICE("viacep.com.br/ws/"&amp;TabelaPf[[#This Row],[CEP]]&amp;"/xml/"),"//uf")</f>
        <v>SP</v>
      </c>
      <c r="P2" s="27" t="s">
        <v>68</v>
      </c>
      <c r="Q2" s="27"/>
      <c r="R2" s="18" t="s">
        <v>3</v>
      </c>
      <c r="S2" s="18" t="s">
        <v>1</v>
      </c>
      <c r="T2" s="57"/>
      <c r="AD2" s="1"/>
    </row>
    <row r="3" spans="1:30" x14ac:dyDescent="0.45">
      <c r="A3" s="27">
        <f>ROW(A2 )</f>
        <v>2</v>
      </c>
      <c r="B3" s="14" t="s">
        <v>125</v>
      </c>
      <c r="C3" s="35" t="s">
        <v>126</v>
      </c>
      <c r="D3" s="13">
        <v>25475734</v>
      </c>
      <c r="E3" s="5" t="s">
        <v>0</v>
      </c>
      <c r="F3" s="5" t="s">
        <v>18</v>
      </c>
      <c r="G3" s="5" t="s">
        <v>27</v>
      </c>
      <c r="H3" s="5" t="s">
        <v>15</v>
      </c>
      <c r="I3" s="31" t="s">
        <v>127</v>
      </c>
      <c r="J3" s="5" t="str">
        <f>_xlfn.FILTERXML(_xlfn.WEBSERVICE("viacep.com.br/ws/"&amp;TabelaPf[[#This Row],[CEP]]&amp;"/xml/"),"//logradouro")</f>
        <v>Rua Reginaldo Waitman</v>
      </c>
      <c r="K3" s="28" t="s">
        <v>186</v>
      </c>
      <c r="L3" s="5" t="s">
        <v>128</v>
      </c>
      <c r="M3" s="5" t="str">
        <f>_xlfn.FILTERXML(_xlfn.WEBSERVICE("viacep.com.br/ws/"&amp;TabelaPf[[#This Row],[CEP]]&amp;"/xml/"),"//bairro")</f>
        <v>Residencial Ary Attab</v>
      </c>
      <c r="N3" s="5" t="str">
        <f>_xlfn.FILTERXML(_xlfn.WEBSERVICE("viacep.com.br/ws/"&amp;TabelaPf[[#This Row],[CEP]]&amp;"/xml/"),"//localidade")</f>
        <v>São José do Rio Preto</v>
      </c>
      <c r="O3" s="5" t="str">
        <f>_xlfn.FILTERXML(_xlfn.WEBSERVICE("viacep.com.br/ws/"&amp;TabelaPf[[#This Row],[CEP]]&amp;"/xml/"),"//uf")</f>
        <v>SP</v>
      </c>
      <c r="P3" s="27" t="s">
        <v>68</v>
      </c>
      <c r="Q3" s="28"/>
      <c r="R3" s="5" t="s">
        <v>3</v>
      </c>
      <c r="S3" s="5" t="s">
        <v>1</v>
      </c>
      <c r="T3" s="18"/>
      <c r="AD3" s="1"/>
    </row>
    <row r="4" spans="1:30" x14ac:dyDescent="0.45">
      <c r="A4" s="27">
        <f t="shared" ref="A4:A20" si="0">ROW(A3 )</f>
        <v>3</v>
      </c>
      <c r="B4" s="17" t="s">
        <v>69</v>
      </c>
      <c r="C4" s="34" t="s">
        <v>5</v>
      </c>
      <c r="D4" s="19" t="s">
        <v>6</v>
      </c>
      <c r="E4" s="18" t="s">
        <v>0</v>
      </c>
      <c r="F4" s="18" t="s">
        <v>16</v>
      </c>
      <c r="G4" s="18" t="s">
        <v>19</v>
      </c>
      <c r="H4" s="18" t="s">
        <v>15</v>
      </c>
      <c r="I4" s="37" t="s">
        <v>4</v>
      </c>
      <c r="J4" s="16" t="str">
        <f>_xlfn.FILTERXML(_xlfn.WEBSERVICE("viacep.com.br/ws/"&amp;TabelaPf[[#This Row],[CEP]]&amp;"/xml/"),"//logradouro")</f>
        <v>Rua Reinaldo Volpe</v>
      </c>
      <c r="K4" s="28">
        <v>290</v>
      </c>
      <c r="L4" s="5" t="s">
        <v>7</v>
      </c>
      <c r="M4" s="16" t="str">
        <f>_xlfn.FILTERXML(_xlfn.WEBSERVICE("viacep.com.br/ws/"&amp;TabelaPf[[#This Row],[CEP]]&amp;"/xml/"),"//bairro")</f>
        <v>Conjunto Habitacional CAIC</v>
      </c>
      <c r="N4" s="16" t="str">
        <f>_xlfn.FILTERXML(_xlfn.WEBSERVICE("viacep.com.br/ws/"&amp;TabelaPf[[#This Row],[CEP]]&amp;"/xml/"),"//localidade")</f>
        <v>São José do Rio Preto</v>
      </c>
      <c r="O4" s="16" t="str">
        <f>_xlfn.FILTERXML(_xlfn.WEBSERVICE("viacep.com.br/ws/"&amp;TabelaPf[[#This Row],[CEP]]&amp;"/xml/"),"//uf")</f>
        <v>SP</v>
      </c>
      <c r="P4" s="27" t="s">
        <v>68</v>
      </c>
      <c r="Q4" s="72"/>
      <c r="R4" s="6" t="s">
        <v>2</v>
      </c>
      <c r="S4" s="6" t="s">
        <v>1</v>
      </c>
      <c r="T4" s="18"/>
    </row>
    <row r="5" spans="1:30" x14ac:dyDescent="0.45">
      <c r="A5" s="27">
        <f t="shared" si="0"/>
        <v>4</v>
      </c>
      <c r="B5" s="17" t="s">
        <v>70</v>
      </c>
      <c r="C5" s="34" t="s">
        <v>8</v>
      </c>
      <c r="D5" s="19" t="s">
        <v>9</v>
      </c>
      <c r="E5" s="18" t="s">
        <v>0</v>
      </c>
      <c r="F5" s="18" t="s">
        <v>17</v>
      </c>
      <c r="G5" s="18" t="s">
        <v>20</v>
      </c>
      <c r="H5" s="18" t="s">
        <v>15</v>
      </c>
      <c r="I5" s="37" t="s">
        <v>10</v>
      </c>
      <c r="J5" s="16" t="str">
        <f>_xlfn.FILTERXML(_xlfn.WEBSERVICE("viacep.com.br/ws/"&amp;TabelaPf[[#This Row],[CEP]]&amp;"/xml/"),"//logradouro")</f>
        <v>Rua Olavo Guimarães Correa</v>
      </c>
      <c r="K5" s="28">
        <v>686</v>
      </c>
      <c r="L5" s="5"/>
      <c r="M5" s="16" t="str">
        <f>_xlfn.FILTERXML(_xlfn.WEBSERVICE("viacep.com.br/ws/"&amp;TabelaPf[[#This Row],[CEP]]&amp;"/xml/"),"//bairro")</f>
        <v>Jardim Urano</v>
      </c>
      <c r="N5" s="16" t="str">
        <f>_xlfn.FILTERXML(_xlfn.WEBSERVICE("viacep.com.br/ws/"&amp;TabelaPf[[#This Row],[CEP]]&amp;"/xml/"),"//localidade")</f>
        <v>São José do Rio Preto</v>
      </c>
      <c r="O5" s="16" t="str">
        <f>_xlfn.FILTERXML(_xlfn.WEBSERVICE("viacep.com.br/ws/"&amp;TabelaPf[[#This Row],[CEP]]&amp;"/xml/"),"//uf")</f>
        <v>SP</v>
      </c>
      <c r="P5" s="71" t="s">
        <v>11</v>
      </c>
      <c r="Q5" s="71"/>
      <c r="R5" s="6" t="s">
        <v>3</v>
      </c>
      <c r="S5" s="6" t="s">
        <v>1</v>
      </c>
      <c r="T5" s="18"/>
    </row>
    <row r="6" spans="1:30" x14ac:dyDescent="0.45">
      <c r="A6" s="27">
        <f t="shared" si="0"/>
        <v>5</v>
      </c>
      <c r="B6" s="17" t="s">
        <v>420</v>
      </c>
      <c r="C6" s="34" t="s">
        <v>12</v>
      </c>
      <c r="D6" s="19" t="s">
        <v>13</v>
      </c>
      <c r="E6" s="18" t="s">
        <v>0</v>
      </c>
      <c r="F6" s="18" t="s">
        <v>16</v>
      </c>
      <c r="G6" s="18" t="s">
        <v>21</v>
      </c>
      <c r="H6" s="18" t="s">
        <v>15</v>
      </c>
      <c r="I6" s="37" t="s">
        <v>14</v>
      </c>
      <c r="J6" s="16" t="str">
        <f>_xlfn.FILTERXML(_xlfn.WEBSERVICE("viacep.com.br/ws/"&amp;TabelaPf[[#This Row],[CEP]]&amp;"/xml/"),"//logradouro")</f>
        <v>Rua Antônio Pinheiro</v>
      </c>
      <c r="K6" s="28">
        <v>550</v>
      </c>
      <c r="L6" s="5"/>
      <c r="M6" s="16" t="str">
        <f>_xlfn.FILTERXML(_xlfn.WEBSERVICE("viacep.com.br/ws/"&amp;TabelaPf[[#This Row],[CEP]]&amp;"/xml/"),"//bairro")</f>
        <v>Cidade Nova</v>
      </c>
      <c r="N6" s="16" t="str">
        <f>_xlfn.FILTERXML(_xlfn.WEBSERVICE("viacep.com.br/ws/"&amp;TabelaPf[[#This Row],[CEP]]&amp;"/xml/"),"//localidade")</f>
        <v>São José do Rio Preto</v>
      </c>
      <c r="O6" s="16" t="str">
        <f>_xlfn.FILTERXML(_xlfn.WEBSERVICE("viacep.com.br/ws/"&amp;TabelaPf[[#This Row],[CEP]]&amp;"/xml/"),"//uf")</f>
        <v>SP</v>
      </c>
      <c r="P6" s="27" t="s">
        <v>68</v>
      </c>
      <c r="Q6" s="72"/>
      <c r="R6" s="6" t="s">
        <v>2</v>
      </c>
      <c r="S6" s="6" t="s">
        <v>1</v>
      </c>
      <c r="T6" s="18"/>
    </row>
    <row r="7" spans="1:30" x14ac:dyDescent="0.45">
      <c r="A7" s="27">
        <f>ROW(A6 )</f>
        <v>6</v>
      </c>
      <c r="B7" s="17" t="s">
        <v>223</v>
      </c>
      <c r="C7" s="34" t="s">
        <v>22</v>
      </c>
      <c r="D7" s="19" t="s">
        <v>23</v>
      </c>
      <c r="E7" s="18" t="s">
        <v>0</v>
      </c>
      <c r="F7" s="18" t="s">
        <v>18</v>
      </c>
      <c r="G7" s="18" t="s">
        <v>24</v>
      </c>
      <c r="H7" s="18" t="s">
        <v>15</v>
      </c>
      <c r="I7" s="37" t="s">
        <v>25</v>
      </c>
      <c r="J7" s="16" t="str">
        <f>_xlfn.FILTERXML(_xlfn.WEBSERVICE("viacep.com.br/ws/"&amp;TabelaPf[[#This Row],[CEP]]&amp;"/xml/"),"//logradouro")</f>
        <v>Rua Padre Clemente Marton Segura</v>
      </c>
      <c r="K7" s="28">
        <v>350</v>
      </c>
      <c r="L7" s="5" t="s">
        <v>26</v>
      </c>
      <c r="M7" s="16" t="str">
        <f>_xlfn.FILTERXML(_xlfn.WEBSERVICE("viacep.com.br/ws/"&amp;TabelaPf[[#This Row],[CEP]]&amp;"/xml/"),"//bairro")</f>
        <v>Higienópolis</v>
      </c>
      <c r="N7" s="16" t="str">
        <f>_xlfn.FILTERXML(_xlfn.WEBSERVICE("viacep.com.br/ws/"&amp;TabelaPf[[#This Row],[CEP]]&amp;"/xml/"),"//localidade")</f>
        <v>São José do Rio Preto</v>
      </c>
      <c r="O7" s="16" t="str">
        <f>_xlfn.FILTERXML(_xlfn.WEBSERVICE("viacep.com.br/ws/"&amp;TabelaPf[[#This Row],[CEP]]&amp;"/xml/"),"//uf")</f>
        <v>SP</v>
      </c>
      <c r="P7" s="27" t="s">
        <v>68</v>
      </c>
      <c r="Q7" s="72"/>
      <c r="R7" s="6" t="s">
        <v>2</v>
      </c>
      <c r="S7" s="6" t="s">
        <v>53</v>
      </c>
      <c r="T7" s="18"/>
    </row>
    <row r="8" spans="1:30" x14ac:dyDescent="0.45">
      <c r="A8" s="27">
        <f>ROW(A7 )</f>
        <v>7</v>
      </c>
      <c r="B8" s="17" t="s">
        <v>71</v>
      </c>
      <c r="C8" s="34" t="s">
        <v>28</v>
      </c>
      <c r="D8" s="19" t="s">
        <v>29</v>
      </c>
      <c r="E8" s="18" t="s">
        <v>0</v>
      </c>
      <c r="F8" s="18" t="s">
        <v>18</v>
      </c>
      <c r="G8" s="18" t="s">
        <v>24</v>
      </c>
      <c r="H8" s="18" t="s">
        <v>15</v>
      </c>
      <c r="I8" s="37" t="s">
        <v>30</v>
      </c>
      <c r="J8" s="16" t="str">
        <f>_xlfn.FILTERXML(_xlfn.WEBSERVICE("viacep.com.br/ws/"&amp;TabelaPf[[#This Row],[CEP]]&amp;"/xml/"),"//logradouro")</f>
        <v>Avenida Doutor José de Castro Duarte</v>
      </c>
      <c r="K8" s="28">
        <v>790</v>
      </c>
      <c r="L8" s="5"/>
      <c r="M8" s="16" t="str">
        <f>_xlfn.FILTERXML(_xlfn.WEBSERVICE("viacep.com.br/ws/"&amp;TabelaPf[[#This Row],[CEP]]&amp;"/xml/"),"//bairro")</f>
        <v>Recanto Real</v>
      </c>
      <c r="N8" s="16" t="str">
        <f>_xlfn.FILTERXML(_xlfn.WEBSERVICE("viacep.com.br/ws/"&amp;TabelaPf[[#This Row],[CEP]]&amp;"/xml/"),"//localidade")</f>
        <v>São José do Rio Preto</v>
      </c>
      <c r="O8" s="16" t="str">
        <f>_xlfn.FILTERXML(_xlfn.WEBSERVICE("viacep.com.br/ws/"&amp;TabelaPf[[#This Row],[CEP]]&amp;"/xml/"),"//uf")</f>
        <v>SP</v>
      </c>
      <c r="P8" s="27" t="s">
        <v>68</v>
      </c>
      <c r="Q8" s="72"/>
      <c r="R8" s="6" t="s">
        <v>2</v>
      </c>
      <c r="S8" s="6" t="s">
        <v>1</v>
      </c>
      <c r="T8" s="18"/>
    </row>
    <row r="9" spans="1:30" x14ac:dyDescent="0.45">
      <c r="A9" s="27">
        <f>ROW(A8 )</f>
        <v>8</v>
      </c>
      <c r="B9" s="17" t="s">
        <v>72</v>
      </c>
      <c r="C9" s="34" t="s">
        <v>31</v>
      </c>
      <c r="D9" s="19" t="s">
        <v>32</v>
      </c>
      <c r="E9" s="18" t="s">
        <v>0</v>
      </c>
      <c r="F9" s="18" t="s">
        <v>18</v>
      </c>
      <c r="G9" s="18" t="s">
        <v>24</v>
      </c>
      <c r="H9" s="18" t="s">
        <v>15</v>
      </c>
      <c r="I9" s="37" t="s">
        <v>33</v>
      </c>
      <c r="J9" s="16" t="str">
        <f>_xlfn.FILTERXML(_xlfn.WEBSERVICE("viacep.com.br/ws/"&amp;TabelaPf[[#This Row],[CEP]]&amp;"/xml/"),"//logradouro")</f>
        <v>Rua Nadir</v>
      </c>
      <c r="K9" s="28">
        <v>85</v>
      </c>
      <c r="L9" s="5" t="s">
        <v>34</v>
      </c>
      <c r="M9" s="16" t="str">
        <f>_xlfn.FILTERXML(_xlfn.WEBSERVICE("viacep.com.br/ws/"&amp;TabelaPf[[#This Row],[CEP]]&amp;"/xml/"),"//bairro")</f>
        <v>Gopoúva</v>
      </c>
      <c r="N9" s="16" t="str">
        <f>_xlfn.FILTERXML(_xlfn.WEBSERVICE("viacep.com.br/ws/"&amp;TabelaPf[[#This Row],[CEP]]&amp;"/xml/"),"//localidade")</f>
        <v>Guarulhos</v>
      </c>
      <c r="O9" s="16" t="str">
        <f>_xlfn.FILTERXML(_xlfn.WEBSERVICE("viacep.com.br/ws/"&amp;TabelaPf[[#This Row],[CEP]]&amp;"/xml/"),"//uf")</f>
        <v>SP</v>
      </c>
      <c r="P9" s="27" t="s">
        <v>68</v>
      </c>
      <c r="Q9" s="72"/>
      <c r="R9" s="6" t="s">
        <v>3</v>
      </c>
      <c r="S9" s="6" t="s">
        <v>1</v>
      </c>
      <c r="T9" s="18"/>
    </row>
    <row r="10" spans="1:30" x14ac:dyDescent="0.45">
      <c r="A10" s="27">
        <f t="shared" si="0"/>
        <v>9</v>
      </c>
      <c r="B10" s="17" t="s">
        <v>216</v>
      </c>
      <c r="C10" s="34" t="s">
        <v>35</v>
      </c>
      <c r="D10" s="19" t="s">
        <v>36</v>
      </c>
      <c r="E10" s="18" t="s">
        <v>0</v>
      </c>
      <c r="F10" s="18" t="s">
        <v>16</v>
      </c>
      <c r="G10" s="18" t="s">
        <v>37</v>
      </c>
      <c r="H10" s="18" t="s">
        <v>15</v>
      </c>
      <c r="I10" s="37" t="s">
        <v>38</v>
      </c>
      <c r="J10" s="16" t="str">
        <f>_xlfn.FILTERXML(_xlfn.WEBSERVICE("viacep.com.br/ws/"&amp;TabelaPf[[#This Row],[CEP]]&amp;"/xml/"),"//logradouro")</f>
        <v>Rua Cândido Carneiro</v>
      </c>
      <c r="K10" s="28">
        <v>573</v>
      </c>
      <c r="L10" s="5"/>
      <c r="M10" s="16" t="str">
        <f>_xlfn.FILTERXML(_xlfn.WEBSERVICE("viacep.com.br/ws/"&amp;TabelaPf[[#This Row],[CEP]]&amp;"/xml/"),"//bairro")</f>
        <v>Vila Bom Jesus</v>
      </c>
      <c r="N10" s="16" t="str">
        <f>_xlfn.FILTERXML(_xlfn.WEBSERVICE("viacep.com.br/ws/"&amp;TabelaPf[[#This Row],[CEP]]&amp;"/xml/"),"//localidade")</f>
        <v>São José do Rio Preto</v>
      </c>
      <c r="O10" s="16" t="str">
        <f>_xlfn.FILTERXML(_xlfn.WEBSERVICE("viacep.com.br/ws/"&amp;TabelaPf[[#This Row],[CEP]]&amp;"/xml/"),"//uf")</f>
        <v>SP</v>
      </c>
      <c r="P10" s="27" t="s">
        <v>68</v>
      </c>
      <c r="Q10" s="72"/>
      <c r="R10" s="6" t="s">
        <v>3</v>
      </c>
      <c r="S10" s="6" t="s">
        <v>1</v>
      </c>
      <c r="T10" s="18"/>
    </row>
    <row r="11" spans="1:30" x14ac:dyDescent="0.45">
      <c r="A11" s="27">
        <f t="shared" si="0"/>
        <v>10</v>
      </c>
      <c r="B11" s="17" t="s">
        <v>421</v>
      </c>
      <c r="C11" s="34" t="s">
        <v>39</v>
      </c>
      <c r="D11" s="19" t="s">
        <v>40</v>
      </c>
      <c r="E11" s="18" t="s">
        <v>0</v>
      </c>
      <c r="F11" s="18" t="s">
        <v>18</v>
      </c>
      <c r="G11" s="18" t="s">
        <v>41</v>
      </c>
      <c r="H11" s="18" t="s">
        <v>15</v>
      </c>
      <c r="I11" s="37" t="s">
        <v>42</v>
      </c>
      <c r="J11" s="16" t="str">
        <f>_xlfn.FILTERXML(_xlfn.WEBSERVICE("viacep.com.br/ws/"&amp;TabelaPf[[#This Row],[CEP]]&amp;"/xml/"),"//logradouro")</f>
        <v>Avenida São José do Rio Preto</v>
      </c>
      <c r="K11" s="28">
        <v>5251</v>
      </c>
      <c r="L11" s="5"/>
      <c r="M11" s="16" t="str">
        <f>_xlfn.FILTERXML(_xlfn.WEBSERVICE("viacep.com.br/ws/"&amp;TabelaPf[[#This Row],[CEP]]&amp;"/xml/"),"//bairro")</f>
        <v>Eldorado</v>
      </c>
      <c r="N11" s="16" t="str">
        <f>_xlfn.FILTERXML(_xlfn.WEBSERVICE("viacep.com.br/ws/"&amp;TabelaPf[[#This Row],[CEP]]&amp;"/xml/"),"//localidade")</f>
        <v>São José do Rio Preto</v>
      </c>
      <c r="O11" s="16" t="str">
        <f>_xlfn.FILTERXML(_xlfn.WEBSERVICE("viacep.com.br/ws/"&amp;TabelaPf[[#This Row],[CEP]]&amp;"/xml/"),"//uf")</f>
        <v>SP</v>
      </c>
      <c r="P11" s="27" t="s">
        <v>68</v>
      </c>
      <c r="Q11" s="72"/>
      <c r="R11" s="6" t="s">
        <v>3</v>
      </c>
      <c r="S11" s="6" t="s">
        <v>1</v>
      </c>
      <c r="T11" s="18"/>
    </row>
    <row r="12" spans="1:30" x14ac:dyDescent="0.45">
      <c r="A12" s="27">
        <f t="shared" si="0"/>
        <v>11</v>
      </c>
      <c r="B12" s="17" t="s">
        <v>73</v>
      </c>
      <c r="C12" s="34">
        <v>37001903876</v>
      </c>
      <c r="D12" s="19" t="s">
        <v>43</v>
      </c>
      <c r="E12" s="18" t="s">
        <v>0</v>
      </c>
      <c r="F12" s="18" t="s">
        <v>18</v>
      </c>
      <c r="G12" s="18" t="s">
        <v>44</v>
      </c>
      <c r="H12" s="18" t="s">
        <v>15</v>
      </c>
      <c r="I12" s="37" t="s">
        <v>45</v>
      </c>
      <c r="J12" s="16" t="str">
        <f>_xlfn.FILTERXML(_xlfn.WEBSERVICE("viacep.com.br/ws/"&amp;TabelaPf[[#This Row],[CEP]]&amp;"/xml/"),"//logradouro")</f>
        <v>Rua Floriano Peixoto</v>
      </c>
      <c r="K12" s="28">
        <v>3222</v>
      </c>
      <c r="L12" s="5"/>
      <c r="M12" s="16" t="str">
        <f>_xlfn.FILTERXML(_xlfn.WEBSERVICE("viacep.com.br/ws/"&amp;TabelaPf[[#This Row],[CEP]]&amp;"/xml/"),"//bairro")</f>
        <v>Santos Dumont</v>
      </c>
      <c r="N12" s="16" t="str">
        <f>_xlfn.FILTERXML(_xlfn.WEBSERVICE("viacep.com.br/ws/"&amp;TabelaPf[[#This Row],[CEP]]&amp;"/xml/"),"//localidade")</f>
        <v>São José do Rio Preto</v>
      </c>
      <c r="O12" s="16" t="str">
        <f>_xlfn.FILTERXML(_xlfn.WEBSERVICE("viacep.com.br/ws/"&amp;TabelaPf[[#This Row],[CEP]]&amp;"/xml/"),"//uf")</f>
        <v>SP</v>
      </c>
      <c r="P12" s="27" t="s">
        <v>68</v>
      </c>
      <c r="Q12" s="72"/>
      <c r="R12" s="6" t="s">
        <v>3</v>
      </c>
      <c r="S12" s="6" t="s">
        <v>46</v>
      </c>
      <c r="T12" s="18"/>
    </row>
    <row r="13" spans="1:30" x14ac:dyDescent="0.45">
      <c r="A13" s="27">
        <f t="shared" si="0"/>
        <v>12</v>
      </c>
      <c r="B13" s="17" t="s">
        <v>74</v>
      </c>
      <c r="C13" s="34" t="s">
        <v>48</v>
      </c>
      <c r="D13" s="19" t="s">
        <v>47</v>
      </c>
      <c r="E13" s="18" t="s">
        <v>0</v>
      </c>
      <c r="F13" s="18" t="s">
        <v>18</v>
      </c>
      <c r="G13" s="18" t="s">
        <v>49</v>
      </c>
      <c r="H13" s="18" t="s">
        <v>15</v>
      </c>
      <c r="I13" s="37" t="s">
        <v>51</v>
      </c>
      <c r="J13" s="16" t="str">
        <f>_xlfn.FILTERXML(_xlfn.WEBSERVICE("viacep.com.br/ws/"&amp;TabelaPf[[#This Row],[CEP]]&amp;"/xml/"),"//logradouro")</f>
        <v>Rua 9</v>
      </c>
      <c r="K13" s="28">
        <v>2454</v>
      </c>
      <c r="L13" s="5" t="s">
        <v>52</v>
      </c>
      <c r="M13" s="16" t="str">
        <f>_xlfn.FILTERXML(_xlfn.WEBSERVICE("viacep.com.br/ws/"&amp;TabelaPf[[#This Row],[CEP]]&amp;"/xml/"),"//bairro")</f>
        <v>Centro</v>
      </c>
      <c r="N13" s="16" t="str">
        <f>_xlfn.FILTERXML(_xlfn.WEBSERVICE("viacep.com.br/ws/"&amp;TabelaPf[[#This Row],[CEP]]&amp;"/xml/"),"//localidade")</f>
        <v>Jales</v>
      </c>
      <c r="O13" s="16" t="str">
        <f>_xlfn.FILTERXML(_xlfn.WEBSERVICE("viacep.com.br/ws/"&amp;TabelaPf[[#This Row],[CEP]]&amp;"/xml/"),"//uf")</f>
        <v>SP</v>
      </c>
      <c r="P13" s="71" t="s">
        <v>50</v>
      </c>
      <c r="Q13" s="71"/>
      <c r="R13" s="6" t="s">
        <v>2</v>
      </c>
      <c r="S13" s="6" t="s">
        <v>53</v>
      </c>
      <c r="T13" s="18"/>
    </row>
    <row r="14" spans="1:30" x14ac:dyDescent="0.45">
      <c r="A14" s="27">
        <f t="shared" si="0"/>
        <v>13</v>
      </c>
      <c r="B14" s="17" t="s">
        <v>75</v>
      </c>
      <c r="C14" s="34" t="s">
        <v>54</v>
      </c>
      <c r="D14" s="19">
        <v>6491125</v>
      </c>
      <c r="E14" s="18" t="s">
        <v>0</v>
      </c>
      <c r="F14" s="18" t="s">
        <v>18</v>
      </c>
      <c r="G14" s="18" t="s">
        <v>21</v>
      </c>
      <c r="H14" s="18" t="s">
        <v>15</v>
      </c>
      <c r="I14" s="37" t="s">
        <v>55</v>
      </c>
      <c r="J14" s="16" t="str">
        <f>_xlfn.FILTERXML(_xlfn.WEBSERVICE("viacep.com.br/ws/"&amp;TabelaPf[[#This Row],[CEP]]&amp;"/xml/"),"//logradouro")</f>
        <v>Rua Marechal Deodoro</v>
      </c>
      <c r="K14" s="28">
        <v>207</v>
      </c>
      <c r="L14" s="5"/>
      <c r="M14" s="16" t="str">
        <f>_xlfn.FILTERXML(_xlfn.WEBSERVICE("viacep.com.br/ws/"&amp;TabelaPf[[#This Row],[CEP]]&amp;"/xml/"),"//bairro")</f>
        <v>Centro</v>
      </c>
      <c r="N14" s="16" t="str">
        <f>_xlfn.FILTERXML(_xlfn.WEBSERVICE("viacep.com.br/ws/"&amp;TabelaPf[[#This Row],[CEP]]&amp;"/xml/"),"//localidade")</f>
        <v>Guaimbê</v>
      </c>
      <c r="O14" s="16" t="str">
        <f>_xlfn.FILTERXML(_xlfn.WEBSERVICE("viacep.com.br/ws/"&amp;TabelaPf[[#This Row],[CEP]]&amp;"/xml/"),"//uf")</f>
        <v>SP</v>
      </c>
      <c r="P14" s="27" t="s">
        <v>68</v>
      </c>
      <c r="Q14" s="72"/>
      <c r="R14" s="6" t="s">
        <v>2</v>
      </c>
      <c r="S14" s="6" t="s">
        <v>53</v>
      </c>
      <c r="T14" s="18"/>
    </row>
    <row r="15" spans="1:30" x14ac:dyDescent="0.45">
      <c r="A15" s="27">
        <f t="shared" si="0"/>
        <v>14</v>
      </c>
      <c r="B15" s="17" t="s">
        <v>58</v>
      </c>
      <c r="C15" s="34" t="s">
        <v>59</v>
      </c>
      <c r="D15" s="19" t="s">
        <v>60</v>
      </c>
      <c r="E15" s="18" t="s">
        <v>0</v>
      </c>
      <c r="F15" s="18" t="s">
        <v>18</v>
      </c>
      <c r="G15" s="18" t="s">
        <v>61</v>
      </c>
      <c r="H15" s="18" t="s">
        <v>15</v>
      </c>
      <c r="I15" s="37" t="s">
        <v>62</v>
      </c>
      <c r="J15" s="16" t="str">
        <f>_xlfn.FILTERXML(_xlfn.WEBSERVICE("viacep.com.br/ws/"&amp;TabelaPf[[#This Row],[CEP]]&amp;"/xml/"),"//logradouro")</f>
        <v>Rua Ezequiel Pinto</v>
      </c>
      <c r="K15" s="28">
        <v>142</v>
      </c>
      <c r="L15" s="5"/>
      <c r="M15" s="16" t="str">
        <f>_xlfn.FILTERXML(_xlfn.WEBSERVICE("viacep.com.br/ws/"&amp;TabelaPf[[#This Row],[CEP]]&amp;"/xml/"),"//bairro")</f>
        <v>Centro (Talhado)</v>
      </c>
      <c r="N15" s="16" t="str">
        <f>_xlfn.FILTERXML(_xlfn.WEBSERVICE("viacep.com.br/ws/"&amp;TabelaPf[[#This Row],[CEP]]&amp;"/xml/"),"//localidade")</f>
        <v>São José do Rio Preto</v>
      </c>
      <c r="O15" s="16" t="str">
        <f>_xlfn.FILTERXML(_xlfn.WEBSERVICE("viacep.com.br/ws/"&amp;TabelaPf[[#This Row],[CEP]]&amp;"/xml/"),"//uf")</f>
        <v>SP</v>
      </c>
      <c r="P15" s="27" t="s">
        <v>68</v>
      </c>
      <c r="Q15" s="72"/>
      <c r="R15" s="6" t="s">
        <v>3</v>
      </c>
      <c r="S15" s="6" t="s">
        <v>1</v>
      </c>
      <c r="T15" s="18"/>
    </row>
    <row r="16" spans="1:30" x14ac:dyDescent="0.45">
      <c r="A16" s="27">
        <f t="shared" si="0"/>
        <v>15</v>
      </c>
      <c r="B16" s="17" t="s">
        <v>76</v>
      </c>
      <c r="C16" s="34" t="s">
        <v>64</v>
      </c>
      <c r="D16" s="19" t="s">
        <v>63</v>
      </c>
      <c r="E16" s="18" t="s">
        <v>0</v>
      </c>
      <c r="F16" s="18" t="s">
        <v>18</v>
      </c>
      <c r="G16" s="18" t="s">
        <v>65</v>
      </c>
      <c r="H16" s="18" t="s">
        <v>15</v>
      </c>
      <c r="I16" s="37" t="s">
        <v>66</v>
      </c>
      <c r="J16" s="16" t="str">
        <f>_xlfn.FILTERXML(_xlfn.WEBSERVICE("viacep.com.br/ws/"&amp;TabelaPf[[#This Row],[CEP]]&amp;"/xml/"),"//logradouro")</f>
        <v>Rua Antônio Olímpio</v>
      </c>
      <c r="K16" s="28">
        <v>605</v>
      </c>
      <c r="L16" s="5" t="s">
        <v>67</v>
      </c>
      <c r="M16" s="16" t="str">
        <f>_xlfn.FILTERXML(_xlfn.WEBSERVICE("viacep.com.br/ws/"&amp;TabelaPf[[#This Row],[CEP]]&amp;"/xml/"),"//bairro")</f>
        <v>Vila Sinibaldi</v>
      </c>
      <c r="N16" s="16" t="str">
        <f>_xlfn.FILTERXML(_xlfn.WEBSERVICE("viacep.com.br/ws/"&amp;TabelaPf[[#This Row],[CEP]]&amp;"/xml/"),"//localidade")</f>
        <v>São José do Rio Preto</v>
      </c>
      <c r="O16" s="16" t="str">
        <f>_xlfn.FILTERXML(_xlfn.WEBSERVICE("viacep.com.br/ws/"&amp;TabelaPf[[#This Row],[CEP]]&amp;"/xml/"),"//uf")</f>
        <v>SP</v>
      </c>
      <c r="P16" s="27" t="s">
        <v>68</v>
      </c>
      <c r="Q16" s="72"/>
      <c r="R16" s="6" t="s">
        <v>2</v>
      </c>
      <c r="S16" s="6" t="s">
        <v>53</v>
      </c>
      <c r="T16" s="18"/>
    </row>
    <row r="17" spans="1:20" x14ac:dyDescent="0.45">
      <c r="A17" s="27">
        <f t="shared" si="0"/>
        <v>16</v>
      </c>
      <c r="B17" s="17" t="s">
        <v>422</v>
      </c>
      <c r="C17" s="34" t="s">
        <v>77</v>
      </c>
      <c r="D17" s="19">
        <v>9105296</v>
      </c>
      <c r="E17" s="18" t="s">
        <v>0</v>
      </c>
      <c r="F17" s="18" t="s">
        <v>78</v>
      </c>
      <c r="G17" s="18" t="s">
        <v>21</v>
      </c>
      <c r="H17" s="18" t="s">
        <v>15</v>
      </c>
      <c r="I17" s="37" t="s">
        <v>79</v>
      </c>
      <c r="J17" s="16" t="str">
        <f>_xlfn.FILTERXML(_xlfn.WEBSERVICE("viacep.com.br/ws/"&amp;TabelaPf[[#This Row],[CEP]]&amp;"/xml/"),"//logradouro")</f>
        <v>Rua Rio Tietê</v>
      </c>
      <c r="K17" s="28">
        <v>401</v>
      </c>
      <c r="L17" s="6"/>
      <c r="M17" s="16" t="str">
        <f>_xlfn.FILTERXML(_xlfn.WEBSERVICE("viacep.com.br/ws/"&amp;TabelaPf[[#This Row],[CEP]]&amp;"/xml/"),"//bairro")</f>
        <v>Jardim Aclimação</v>
      </c>
      <c r="N17" s="16" t="str">
        <f>_xlfn.FILTERXML(_xlfn.WEBSERVICE("viacep.com.br/ws/"&amp;TabelaPf[[#This Row],[CEP]]&amp;"/xml/"),"//localidade")</f>
        <v>São José do Rio Preto</v>
      </c>
      <c r="O17" s="16" t="str">
        <f>_xlfn.FILTERXML(_xlfn.WEBSERVICE("viacep.com.br/ws/"&amp;TabelaPf[[#This Row],[CEP]]&amp;"/xml/"),"//uf")</f>
        <v>SP</v>
      </c>
      <c r="P17" s="27" t="s">
        <v>68</v>
      </c>
      <c r="Q17" s="72"/>
      <c r="R17" s="6" t="s">
        <v>3</v>
      </c>
      <c r="S17" s="6" t="s">
        <v>1</v>
      </c>
      <c r="T17" s="18"/>
    </row>
    <row r="18" spans="1:20" x14ac:dyDescent="0.45">
      <c r="A18" s="27">
        <f t="shared" si="0"/>
        <v>17</v>
      </c>
      <c r="B18" s="17" t="s">
        <v>80</v>
      </c>
      <c r="C18" s="34" t="s">
        <v>81</v>
      </c>
      <c r="D18" s="19">
        <v>48497447</v>
      </c>
      <c r="E18" s="18" t="s">
        <v>0</v>
      </c>
      <c r="F18" s="18" t="s">
        <v>18</v>
      </c>
      <c r="G18" s="18" t="s">
        <v>82</v>
      </c>
      <c r="H18" s="18" t="s">
        <v>15</v>
      </c>
      <c r="I18" s="37" t="s">
        <v>79</v>
      </c>
      <c r="J18" s="16" t="str">
        <f>_xlfn.FILTERXML(_xlfn.WEBSERVICE("viacep.com.br/ws/"&amp;TabelaPf[[#This Row],[CEP]]&amp;"/xml/"),"//logradouro")</f>
        <v>Rua Rio Tietê</v>
      </c>
      <c r="K18" s="28">
        <v>401</v>
      </c>
      <c r="L18" s="6"/>
      <c r="M18" s="16" t="str">
        <f>_xlfn.FILTERXML(_xlfn.WEBSERVICE("viacep.com.br/ws/"&amp;TabelaPf[[#This Row],[CEP]]&amp;"/xml/"),"//bairro")</f>
        <v>Jardim Aclimação</v>
      </c>
      <c r="N18" s="16" t="str">
        <f>_xlfn.FILTERXML(_xlfn.WEBSERVICE("viacep.com.br/ws/"&amp;TabelaPf[[#This Row],[CEP]]&amp;"/xml/"),"//localidade")</f>
        <v>São José do Rio Preto</v>
      </c>
      <c r="O18" s="16" t="str">
        <f>_xlfn.FILTERXML(_xlfn.WEBSERVICE("viacep.com.br/ws/"&amp;TabelaPf[[#This Row],[CEP]]&amp;"/xml/"),"//uf")</f>
        <v>SP</v>
      </c>
      <c r="P18" s="27" t="s">
        <v>68</v>
      </c>
      <c r="Q18" s="72"/>
      <c r="R18" s="6" t="s">
        <v>3</v>
      </c>
      <c r="S18" s="6" t="s">
        <v>1</v>
      </c>
      <c r="T18" s="18"/>
    </row>
    <row r="19" spans="1:20" x14ac:dyDescent="0.45">
      <c r="A19" s="27">
        <f t="shared" si="0"/>
        <v>18</v>
      </c>
      <c r="B19" s="17" t="s">
        <v>83</v>
      </c>
      <c r="C19" s="34" t="s">
        <v>84</v>
      </c>
      <c r="D19" s="19">
        <v>49752147</v>
      </c>
      <c r="E19" s="18" t="s">
        <v>0</v>
      </c>
      <c r="F19" s="18" t="s">
        <v>17</v>
      </c>
      <c r="G19" s="18" t="s">
        <v>82</v>
      </c>
      <c r="H19" s="18" t="s">
        <v>15</v>
      </c>
      <c r="I19" s="37" t="s">
        <v>79</v>
      </c>
      <c r="J19" s="16" t="str">
        <f>_xlfn.FILTERXML(_xlfn.WEBSERVICE("viacep.com.br/ws/"&amp;TabelaPf[[#This Row],[CEP]]&amp;"/xml/"),"//logradouro")</f>
        <v>Rua Rio Tietê</v>
      </c>
      <c r="K19" s="28">
        <v>401</v>
      </c>
      <c r="L19" s="6"/>
      <c r="M19" s="16" t="str">
        <f>_xlfn.FILTERXML(_xlfn.WEBSERVICE("viacep.com.br/ws/"&amp;TabelaPf[[#This Row],[CEP]]&amp;"/xml/"),"//bairro")</f>
        <v>Jardim Aclimação</v>
      </c>
      <c r="N19" s="16" t="str">
        <f>_xlfn.FILTERXML(_xlfn.WEBSERVICE("viacep.com.br/ws/"&amp;TabelaPf[[#This Row],[CEP]]&amp;"/xml/"),"//localidade")</f>
        <v>São José do Rio Preto</v>
      </c>
      <c r="O19" s="16" t="str">
        <f>_xlfn.FILTERXML(_xlfn.WEBSERVICE("viacep.com.br/ws/"&amp;TabelaPf[[#This Row],[CEP]]&amp;"/xml/"),"//uf")</f>
        <v>SP</v>
      </c>
      <c r="P19" s="27" t="s">
        <v>68</v>
      </c>
      <c r="Q19" s="72"/>
      <c r="R19" s="6" t="s">
        <v>3</v>
      </c>
      <c r="S19" s="6" t="s">
        <v>1</v>
      </c>
      <c r="T19" s="18"/>
    </row>
    <row r="20" spans="1:20" x14ac:dyDescent="0.45">
      <c r="A20" s="28">
        <f t="shared" si="0"/>
        <v>19</v>
      </c>
      <c r="B20" s="14" t="s">
        <v>423</v>
      </c>
      <c r="C20" s="35" t="s">
        <v>86</v>
      </c>
      <c r="D20" s="13" t="s">
        <v>85</v>
      </c>
      <c r="E20" s="5" t="s">
        <v>0</v>
      </c>
      <c r="F20" s="5" t="s">
        <v>18</v>
      </c>
      <c r="G20" s="5" t="s">
        <v>87</v>
      </c>
      <c r="H20" s="5" t="s">
        <v>15</v>
      </c>
      <c r="I20" s="31" t="s">
        <v>88</v>
      </c>
      <c r="J20" s="16" t="str">
        <f>_xlfn.FILTERXML(_xlfn.WEBSERVICE("viacep.com.br/ws/"&amp;TabelaPf[[#This Row],[CEP]]&amp;"/xml/"),"//logradouro")</f>
        <v>Rua Lourdes Silva Santos</v>
      </c>
      <c r="K20" s="28">
        <v>46</v>
      </c>
      <c r="L20" s="6"/>
      <c r="M20" s="10" t="str">
        <f>_xlfn.FILTERXML(_xlfn.WEBSERVICE("viacep.com.br/ws/"&amp;TabelaPf[[#This Row],[CEP]]&amp;"/xml/"),"//bairro")</f>
        <v>Parque Residencial Villa dos Inglezes</v>
      </c>
      <c r="N20" s="10" t="str">
        <f>_xlfn.FILTERXML(_xlfn.WEBSERVICE("viacep.com.br/ws/"&amp;TabelaPf[[#This Row],[CEP]]&amp;"/xml/"),"//localidade")</f>
        <v>Sorocaba</v>
      </c>
      <c r="O20" s="10" t="str">
        <f>_xlfn.FILTERXML(_xlfn.WEBSERVICE("viacep.com.br/ws/"&amp;TabelaPf[[#This Row],[CEP]]&amp;"/xml/"),"//uf")</f>
        <v>SP</v>
      </c>
      <c r="P20" s="27" t="s">
        <v>68</v>
      </c>
      <c r="Q20" s="72"/>
      <c r="R20" s="6" t="s">
        <v>3</v>
      </c>
      <c r="S20" s="6" t="s">
        <v>1</v>
      </c>
      <c r="T20" s="18"/>
    </row>
    <row r="21" spans="1:20" x14ac:dyDescent="0.45">
      <c r="A21" s="28">
        <f>ROW(A20 )</f>
        <v>20</v>
      </c>
      <c r="B21" s="14" t="s">
        <v>93</v>
      </c>
      <c r="C21" s="35" t="s">
        <v>94</v>
      </c>
      <c r="D21" s="13">
        <v>45426167</v>
      </c>
      <c r="E21" s="5" t="s">
        <v>0</v>
      </c>
      <c r="F21" s="5" t="s">
        <v>18</v>
      </c>
      <c r="G21" s="5" t="s">
        <v>24</v>
      </c>
      <c r="H21" s="5" t="s">
        <v>15</v>
      </c>
      <c r="I21" s="31" t="s">
        <v>95</v>
      </c>
      <c r="J21" s="16" t="str">
        <f>_xlfn.FILTERXML(_xlfn.WEBSERVICE("viacep.com.br/ws/"&amp;TabelaPf[[#This Row],[CEP]]&amp;"/xml/"),"//logradouro")</f>
        <v>Rua Dorcelino Narciso</v>
      </c>
      <c r="K21" s="28">
        <v>500</v>
      </c>
      <c r="L21" s="5" t="s">
        <v>96</v>
      </c>
      <c r="M21" s="10" t="str">
        <f>_xlfn.FILTERXML(_xlfn.WEBSERVICE("viacep.com.br/ws/"&amp;TabelaPf[[#This Row],[CEP]]&amp;"/xml/"),"//bairro")</f>
        <v>Jardim Jandira</v>
      </c>
      <c r="N21" s="10" t="str">
        <f>_xlfn.FILTERXML(_xlfn.WEBSERVICE("viacep.com.br/ws/"&amp;TabelaPf[[#This Row],[CEP]]&amp;"/xml/"),"//localidade")</f>
        <v>São José do Rio Preto</v>
      </c>
      <c r="O21" s="10" t="str">
        <f>_xlfn.FILTERXML(_xlfn.WEBSERVICE("viacep.com.br/ws/"&amp;TabelaPf[[#This Row],[CEP]]&amp;"/xml/"),"//uf")</f>
        <v>SP</v>
      </c>
      <c r="P21" s="27" t="s">
        <v>68</v>
      </c>
      <c r="Q21" s="72"/>
      <c r="R21" s="6" t="s">
        <v>3</v>
      </c>
      <c r="S21" s="6" t="s">
        <v>1</v>
      </c>
      <c r="T21" s="18"/>
    </row>
    <row r="22" spans="1:20" x14ac:dyDescent="0.45">
      <c r="A22" s="27">
        <f t="shared" ref="A22:A23" si="1">ROW(A21 )</f>
        <v>21</v>
      </c>
      <c r="B22" s="17" t="s">
        <v>424</v>
      </c>
      <c r="C22" s="34" t="s">
        <v>102</v>
      </c>
      <c r="D22" s="19" t="s">
        <v>103</v>
      </c>
      <c r="E22" s="18" t="s">
        <v>0</v>
      </c>
      <c r="F22" s="18" t="s">
        <v>17</v>
      </c>
      <c r="G22" s="18" t="s">
        <v>24</v>
      </c>
      <c r="H22" s="18" t="s">
        <v>15</v>
      </c>
      <c r="I22" s="37" t="s">
        <v>104</v>
      </c>
      <c r="J22" s="16" t="str">
        <f>_xlfn.FILTERXML(_xlfn.WEBSERVICE("viacep.com.br/ws/"&amp;TabelaPf[[#This Row],[CEP]]&amp;"/xml/"),"//logradouro")</f>
        <v>Rua General Glicério</v>
      </c>
      <c r="K22" s="28">
        <v>3173</v>
      </c>
      <c r="L22" s="18"/>
      <c r="M22" s="16" t="str">
        <f>_xlfn.FILTERXML(_xlfn.WEBSERVICE("viacep.com.br/ws/"&amp;TabelaPf[[#This Row],[CEP]]&amp;"/xml/"),"//bairro")</f>
        <v>Centro</v>
      </c>
      <c r="N22" s="16" t="str">
        <f>_xlfn.FILTERXML(_xlfn.WEBSERVICE("viacep.com.br/ws/"&amp;TabelaPf[[#This Row],[CEP]]&amp;"/xml/"),"//localidade")</f>
        <v>São José do Rio Preto</v>
      </c>
      <c r="O22" s="16" t="str">
        <f>_xlfn.FILTERXML(_xlfn.WEBSERVICE("viacep.com.br/ws/"&amp;TabelaPf[[#This Row],[CEP]]&amp;"/xml/"),"//uf")</f>
        <v>SP</v>
      </c>
      <c r="P22" s="27" t="s">
        <v>68</v>
      </c>
      <c r="Q22" s="72"/>
      <c r="R22" s="6" t="s">
        <v>3</v>
      </c>
      <c r="S22" s="6" t="s">
        <v>1</v>
      </c>
      <c r="T22" s="18"/>
    </row>
    <row r="23" spans="1:20" x14ac:dyDescent="0.45">
      <c r="A23" s="28">
        <f t="shared" si="1"/>
        <v>22</v>
      </c>
      <c r="B23" s="14" t="s">
        <v>105</v>
      </c>
      <c r="C23" s="35" t="s">
        <v>106</v>
      </c>
      <c r="D23" s="13" t="s">
        <v>107</v>
      </c>
      <c r="E23" s="5" t="s">
        <v>0</v>
      </c>
      <c r="F23" s="5" t="s">
        <v>17</v>
      </c>
      <c r="G23" s="5" t="s">
        <v>24</v>
      </c>
      <c r="H23" s="5" t="s">
        <v>15</v>
      </c>
      <c r="I23" s="31" t="s">
        <v>108</v>
      </c>
      <c r="J23" s="16" t="str">
        <f>_xlfn.FILTERXML(_xlfn.WEBSERVICE("viacep.com.br/ws/"&amp;TabelaPf[[#This Row],[CEP]]&amp;"/xml/"),"//logradouro")</f>
        <v>Rua José Silva do Amaral Sales</v>
      </c>
      <c r="K23" s="28">
        <v>2215</v>
      </c>
      <c r="L23" s="5"/>
      <c r="M23" s="10" t="str">
        <f>_xlfn.FILTERXML(_xlfn.WEBSERVICE("viacep.com.br/ws/"&amp;TabelaPf[[#This Row],[CEP]]&amp;"/xml/"),"//bairro")</f>
        <v>Jardim Roseana</v>
      </c>
      <c r="N23" s="10" t="str">
        <f>_xlfn.FILTERXML(_xlfn.WEBSERVICE("viacep.com.br/ws/"&amp;TabelaPf[[#This Row],[CEP]]&amp;"/xml/"),"//localidade")</f>
        <v>São José do Rio Preto</v>
      </c>
      <c r="O23" s="10" t="str">
        <f>_xlfn.FILTERXML(_xlfn.WEBSERVICE("viacep.com.br/ws/"&amp;TabelaPf[[#This Row],[CEP]]&amp;"/xml/"),"//uf")</f>
        <v>SP</v>
      </c>
      <c r="P23" s="27" t="s">
        <v>68</v>
      </c>
      <c r="Q23" s="72"/>
      <c r="R23" s="6" t="s">
        <v>3</v>
      </c>
      <c r="S23" s="6" t="s">
        <v>1</v>
      </c>
      <c r="T23" s="18"/>
    </row>
    <row r="24" spans="1:20" x14ac:dyDescent="0.45">
      <c r="A24" s="28">
        <f t="shared" ref="A24:A29" si="2">ROW(A23 )</f>
        <v>23</v>
      </c>
      <c r="B24" s="14" t="s">
        <v>217</v>
      </c>
      <c r="C24" s="35" t="s">
        <v>135</v>
      </c>
      <c r="D24" s="13" t="s">
        <v>136</v>
      </c>
      <c r="E24" s="5" t="s">
        <v>0</v>
      </c>
      <c r="F24" s="5" t="s">
        <v>17</v>
      </c>
      <c r="G24" s="5" t="s">
        <v>134</v>
      </c>
      <c r="H24" s="5" t="s">
        <v>15</v>
      </c>
      <c r="I24" s="31" t="s">
        <v>132</v>
      </c>
      <c r="J24" s="16" t="str">
        <f>_xlfn.FILTERXML(_xlfn.WEBSERVICE("viacep.com.br/ws/"&amp;TabelaPf[[#This Row],[CEP]]&amp;"/xml/"),"//logradouro")</f>
        <v>Rua Odete de Andrade Rocha Mendes</v>
      </c>
      <c r="K24" s="28">
        <v>577</v>
      </c>
      <c r="L24" s="5" t="s">
        <v>133</v>
      </c>
      <c r="M24" s="10" t="str">
        <f>_xlfn.FILTERXML(_xlfn.WEBSERVICE("viacep.com.br/ws/"&amp;TabelaPf[[#This Row],[CEP]]&amp;"/xml/"),"//bairro")</f>
        <v>Solo Sagrado</v>
      </c>
      <c r="N24" s="10" t="str">
        <f>_xlfn.FILTERXML(_xlfn.WEBSERVICE("viacep.com.br/ws/"&amp;TabelaPf[[#This Row],[CEP]]&amp;"/xml/"),"//localidade")</f>
        <v>São José do Rio Preto</v>
      </c>
      <c r="O24" s="10" t="str">
        <f>_xlfn.FILTERXML(_xlfn.WEBSERVICE("viacep.com.br/ws/"&amp;TabelaPf[[#This Row],[CEP]]&amp;"/xml/"),"//uf")</f>
        <v>SP</v>
      </c>
      <c r="P24" s="27" t="s">
        <v>68</v>
      </c>
      <c r="Q24" s="28"/>
      <c r="R24" s="5" t="s">
        <v>3</v>
      </c>
      <c r="S24" s="5" t="s">
        <v>1</v>
      </c>
      <c r="T24" s="18"/>
    </row>
    <row r="25" spans="1:20" x14ac:dyDescent="0.45">
      <c r="A25" s="28">
        <f t="shared" si="2"/>
        <v>24</v>
      </c>
      <c r="B25" s="14" t="s">
        <v>218</v>
      </c>
      <c r="C25" s="35" t="s">
        <v>137</v>
      </c>
      <c r="D25" s="13" t="s">
        <v>138</v>
      </c>
      <c r="E25" s="5" t="s">
        <v>0</v>
      </c>
      <c r="F25" s="5" t="s">
        <v>222</v>
      </c>
      <c r="G25" s="5" t="s">
        <v>21</v>
      </c>
      <c r="H25" s="5" t="s">
        <v>15</v>
      </c>
      <c r="I25" s="31" t="s">
        <v>139</v>
      </c>
      <c r="J25" s="10" t="str">
        <f>_xlfn.FILTERXML(_xlfn.WEBSERVICE("viacep.com.br/ws/"&amp;TabelaPf[[#This Row],[CEP]]&amp;"/xml/"),"//logradouro")</f>
        <v>Rua Capitão José Maria</v>
      </c>
      <c r="K25" s="28">
        <v>647</v>
      </c>
      <c r="L25" s="5" t="s">
        <v>140</v>
      </c>
      <c r="M25" s="10" t="str">
        <f>_xlfn.FILTERXML(_xlfn.WEBSERVICE("viacep.com.br/ws/"&amp;TabelaPf[[#This Row],[CEP]]&amp;"/xml/"),"//bairro")</f>
        <v>Jardim Urano</v>
      </c>
      <c r="N25" s="10" t="str">
        <f>_xlfn.FILTERXML(_xlfn.WEBSERVICE("viacep.com.br/ws/"&amp;TabelaPf[[#This Row],[CEP]]&amp;"/xml/"),"//localidade")</f>
        <v>São José do Rio Preto</v>
      </c>
      <c r="O25" s="10" t="str">
        <f>_xlfn.FILTERXML(_xlfn.WEBSERVICE("viacep.com.br/ws/"&amp;TabelaPf[[#This Row],[CEP]]&amp;"/xml/"),"//uf")</f>
        <v>SP</v>
      </c>
      <c r="P25" s="27" t="s">
        <v>68</v>
      </c>
      <c r="Q25" s="28"/>
      <c r="R25" s="5" t="s">
        <v>2</v>
      </c>
      <c r="S25" s="5" t="s">
        <v>53</v>
      </c>
      <c r="T25" s="18"/>
    </row>
    <row r="26" spans="1:20" x14ac:dyDescent="0.45">
      <c r="A26" s="28">
        <f t="shared" si="2"/>
        <v>25</v>
      </c>
      <c r="B26" s="14" t="s">
        <v>141</v>
      </c>
      <c r="C26" s="35" t="s">
        <v>142</v>
      </c>
      <c r="D26" s="13" t="s">
        <v>143</v>
      </c>
      <c r="E26" s="5" t="s">
        <v>0</v>
      </c>
      <c r="F26" s="5" t="s">
        <v>16</v>
      </c>
      <c r="G26" s="5" t="s">
        <v>144</v>
      </c>
      <c r="H26" s="5" t="s">
        <v>15</v>
      </c>
      <c r="I26" s="31" t="s">
        <v>118</v>
      </c>
      <c r="J26" s="10" t="str">
        <f>_xlfn.FILTERXML(_xlfn.WEBSERVICE("viacep.com.br/ws/"&amp;TabelaPf[[#This Row],[CEP]]&amp;"/xml/"),"//logradouro")</f>
        <v>Rua da Primavera</v>
      </c>
      <c r="K26" s="28">
        <v>450</v>
      </c>
      <c r="L26" s="5" t="s">
        <v>145</v>
      </c>
      <c r="M26" s="10" t="str">
        <f>_xlfn.FILTERXML(_xlfn.WEBSERVICE("viacep.com.br/ws/"&amp;TabelaPf[[#This Row],[CEP]]&amp;"/xml/"),"//bairro")</f>
        <v>Jardim Santa Catarina</v>
      </c>
      <c r="N26" s="10" t="str">
        <f>_xlfn.FILTERXML(_xlfn.WEBSERVICE("viacep.com.br/ws/"&amp;TabelaPf[[#This Row],[CEP]]&amp;"/xml/"),"//localidade")</f>
        <v>São José do Rio Preto</v>
      </c>
      <c r="O26" s="10" t="str">
        <f>_xlfn.FILTERXML(_xlfn.WEBSERVICE("viacep.com.br/ws/"&amp;TabelaPf[[#This Row],[CEP]]&amp;"/xml/"),"//uf")</f>
        <v>SP</v>
      </c>
      <c r="P26" s="27" t="s">
        <v>68</v>
      </c>
      <c r="Q26" s="28"/>
      <c r="R26" s="5" t="s">
        <v>2</v>
      </c>
      <c r="S26" s="5" t="s">
        <v>53</v>
      </c>
      <c r="T26" s="18"/>
    </row>
    <row r="27" spans="1:20" x14ac:dyDescent="0.45">
      <c r="A27" s="28">
        <f t="shared" si="2"/>
        <v>26</v>
      </c>
      <c r="B27" s="14" t="s">
        <v>219</v>
      </c>
      <c r="C27" s="35" t="s">
        <v>147</v>
      </c>
      <c r="D27" s="13" t="s">
        <v>146</v>
      </c>
      <c r="E27" s="5" t="s">
        <v>0</v>
      </c>
      <c r="F27" s="5" t="s">
        <v>16</v>
      </c>
      <c r="G27" s="5" t="s">
        <v>49</v>
      </c>
      <c r="H27" s="5" t="s">
        <v>15</v>
      </c>
      <c r="I27" s="31" t="s">
        <v>120</v>
      </c>
      <c r="J27" s="10" t="str">
        <f>_xlfn.FILTERXML(_xlfn.WEBSERVICE("viacep.com.br/ws/"&amp;TabelaPf[[#This Row],[CEP]]&amp;"/xml/"),"//logradouro")</f>
        <v>Rua Iriritiba</v>
      </c>
      <c r="K27" s="28">
        <v>1200</v>
      </c>
      <c r="L27" s="5" t="s">
        <v>148</v>
      </c>
      <c r="M27" s="10" t="str">
        <f>_xlfn.FILTERXML(_xlfn.WEBSERVICE("viacep.com.br/ws/"&amp;TabelaPf[[#This Row],[CEP]]&amp;"/xml/"),"//bairro")</f>
        <v>Jardim Caparroz</v>
      </c>
      <c r="N27" s="10" t="str">
        <f>_xlfn.FILTERXML(_xlfn.WEBSERVICE("viacep.com.br/ws/"&amp;TabelaPf[[#This Row],[CEP]]&amp;"/xml/"),"//localidade")</f>
        <v>São José do Rio Preto</v>
      </c>
      <c r="O27" s="10" t="str">
        <f>_xlfn.FILTERXML(_xlfn.WEBSERVICE("viacep.com.br/ws/"&amp;TabelaPf[[#This Row],[CEP]]&amp;"/xml/"),"//uf")</f>
        <v>SP</v>
      </c>
      <c r="P27" s="27" t="s">
        <v>68</v>
      </c>
      <c r="Q27" s="28"/>
      <c r="R27" s="5" t="s">
        <v>2</v>
      </c>
      <c r="S27" s="5" t="s">
        <v>53</v>
      </c>
      <c r="T27" s="18"/>
    </row>
    <row r="28" spans="1:20" x14ac:dyDescent="0.45">
      <c r="A28" s="28">
        <f t="shared" si="2"/>
        <v>27</v>
      </c>
      <c r="B28" s="14" t="s">
        <v>220</v>
      </c>
      <c r="C28" s="35" t="s">
        <v>149</v>
      </c>
      <c r="D28" s="13" t="s">
        <v>150</v>
      </c>
      <c r="E28" s="5" t="s">
        <v>0</v>
      </c>
      <c r="F28" s="5" t="s">
        <v>222</v>
      </c>
      <c r="G28" s="5" t="s">
        <v>49</v>
      </c>
      <c r="H28" s="5" t="s">
        <v>15</v>
      </c>
      <c r="I28" s="31" t="s">
        <v>122</v>
      </c>
      <c r="J28" s="10" t="str">
        <f>_xlfn.FILTERXML(_xlfn.WEBSERVICE("viacep.com.br/ws/"&amp;TabelaPf[[#This Row],[CEP]]&amp;"/xml/"),"//logradouro")</f>
        <v>Rua José Polachini Sobrinho</v>
      </c>
      <c r="K28" s="28">
        <v>480</v>
      </c>
      <c r="L28" s="5" t="s">
        <v>224</v>
      </c>
      <c r="M28" s="10" t="str">
        <f>_xlfn.FILTERXML(_xlfn.WEBSERVICE("viacep.com.br/ws/"&amp;TabelaPf[[#This Row],[CEP]]&amp;"/xml/"),"//bairro")</f>
        <v>Jardim Urano</v>
      </c>
      <c r="N28" s="10" t="str">
        <f>_xlfn.FILTERXML(_xlfn.WEBSERVICE("viacep.com.br/ws/"&amp;TabelaPf[[#This Row],[CEP]]&amp;"/xml/"),"//localidade")</f>
        <v>São José do Rio Preto</v>
      </c>
      <c r="O28" s="10" t="str">
        <f>_xlfn.FILTERXML(_xlfn.WEBSERVICE("viacep.com.br/ws/"&amp;TabelaPf[[#This Row],[CEP]]&amp;"/xml/"),"//uf")</f>
        <v>SP</v>
      </c>
      <c r="P28" s="27" t="s">
        <v>68</v>
      </c>
      <c r="Q28" s="28"/>
      <c r="R28" s="5" t="s">
        <v>2</v>
      </c>
      <c r="S28" s="5" t="s">
        <v>53</v>
      </c>
      <c r="T28" s="18"/>
    </row>
    <row r="29" spans="1:20" x14ac:dyDescent="0.45">
      <c r="A29" s="28">
        <f t="shared" si="2"/>
        <v>28</v>
      </c>
      <c r="B29" s="14" t="s">
        <v>151</v>
      </c>
      <c r="C29" s="35" t="s">
        <v>152</v>
      </c>
      <c r="D29" s="13">
        <v>3744178</v>
      </c>
      <c r="E29" s="5" t="s">
        <v>0</v>
      </c>
      <c r="F29" s="5" t="s">
        <v>18</v>
      </c>
      <c r="G29" s="5" t="s">
        <v>153</v>
      </c>
      <c r="H29" s="5" t="s">
        <v>15</v>
      </c>
      <c r="I29" s="31" t="s">
        <v>154</v>
      </c>
      <c r="J29" s="10" t="e">
        <f>_xlfn.FILTERXML(_xlfn.WEBSERVICE("viacep.com.br/ws/"&amp;TabelaPf[[#This Row],[CEP]]&amp;"/xml/"),"//logradouro")</f>
        <v>#VALUE!</v>
      </c>
      <c r="K29" s="28">
        <v>850</v>
      </c>
      <c r="L29" s="5"/>
      <c r="M29" s="10" t="e">
        <f>_xlfn.FILTERXML(_xlfn.WEBSERVICE("viacep.com.br/ws/"&amp;TabelaPf[[#This Row],[CEP]]&amp;"/xml/"),"//bairro")</f>
        <v>#VALUE!</v>
      </c>
      <c r="N29" s="10" t="str">
        <f>_xlfn.FILTERXML(_xlfn.WEBSERVICE("viacep.com.br/ws/"&amp;TabelaPf[[#This Row],[CEP]]&amp;"/xml/"),"//localidade")</f>
        <v>Potirendaba</v>
      </c>
      <c r="O29" s="10" t="str">
        <f>_xlfn.FILTERXML(_xlfn.WEBSERVICE("viacep.com.br/ws/"&amp;TabelaPf[[#This Row],[CEP]]&amp;"/xml/"),"//uf")</f>
        <v>SP</v>
      </c>
      <c r="P29" s="27" t="s">
        <v>68</v>
      </c>
      <c r="Q29" s="28"/>
      <c r="R29" s="5" t="s">
        <v>2</v>
      </c>
      <c r="S29" s="5" t="s">
        <v>53</v>
      </c>
      <c r="T29" s="18"/>
    </row>
    <row r="30" spans="1:20" x14ac:dyDescent="0.45">
      <c r="A30" s="28">
        <f t="shared" ref="A30:A35" si="3">ROW(A29 )</f>
        <v>29</v>
      </c>
      <c r="B30" s="14" t="s">
        <v>155</v>
      </c>
      <c r="C30" s="35" t="s">
        <v>156</v>
      </c>
      <c r="D30" s="13" t="s">
        <v>157</v>
      </c>
      <c r="E30" s="5" t="s">
        <v>0</v>
      </c>
      <c r="F30" s="5" t="s">
        <v>16</v>
      </c>
      <c r="G30" s="5" t="s">
        <v>158</v>
      </c>
      <c r="H30" s="5" t="s">
        <v>15</v>
      </c>
      <c r="I30" s="31" t="s">
        <v>116</v>
      </c>
      <c r="J30" s="10" t="str">
        <f>_xlfn.FILTERXML(_xlfn.WEBSERVICE("viacep.com.br/ws/"&amp;TabelaPf[[#This Row],[CEP]]&amp;"/xml/"),"//logradouro")</f>
        <v>Rua João Romualdo de Freitas</v>
      </c>
      <c r="K30" s="28" t="s">
        <v>178</v>
      </c>
      <c r="L30" s="5" t="s">
        <v>159</v>
      </c>
      <c r="M30" s="10" t="str">
        <f>_xlfn.FILTERXML(_xlfn.WEBSERVICE("viacep.com.br/ws/"&amp;TabelaPf[[#This Row],[CEP]]&amp;"/xml/"),"//bairro")</f>
        <v>Jardim Moysés Miguel Haddad</v>
      </c>
      <c r="N30" s="10" t="str">
        <f>_xlfn.FILTERXML(_xlfn.WEBSERVICE("viacep.com.br/ws/"&amp;TabelaPf[[#This Row],[CEP]]&amp;"/xml/"),"//localidade")</f>
        <v>São José do Rio Preto</v>
      </c>
      <c r="O30" s="10" t="str">
        <f>_xlfn.FILTERXML(_xlfn.WEBSERVICE("viacep.com.br/ws/"&amp;TabelaPf[[#This Row],[CEP]]&amp;"/xml/"),"//uf")</f>
        <v>SP</v>
      </c>
      <c r="P30" s="27" t="s">
        <v>68</v>
      </c>
      <c r="Q30" s="28"/>
      <c r="R30" s="5" t="s">
        <v>2</v>
      </c>
      <c r="S30" s="5" t="s">
        <v>53</v>
      </c>
      <c r="T30" s="18"/>
    </row>
    <row r="31" spans="1:20" x14ac:dyDescent="0.45">
      <c r="A31" s="28">
        <f t="shared" si="3"/>
        <v>30</v>
      </c>
      <c r="B31" s="14" t="s">
        <v>221</v>
      </c>
      <c r="C31" s="35" t="s">
        <v>170</v>
      </c>
      <c r="D31" s="13" t="s">
        <v>171</v>
      </c>
      <c r="E31" s="5" t="s">
        <v>0</v>
      </c>
      <c r="F31" s="5" t="s">
        <v>17</v>
      </c>
      <c r="G31" s="5" t="s">
        <v>172</v>
      </c>
      <c r="H31" s="5" t="s">
        <v>15</v>
      </c>
      <c r="I31" s="31" t="s">
        <v>173</v>
      </c>
      <c r="J31" s="10" t="str">
        <f>_xlfn.FILTERXML(_xlfn.WEBSERVICE("viacep.com.br/ws/"&amp;TabelaPf[[#This Row],[CEP]]&amp;"/xml/"),"//logradouro")</f>
        <v>Rua do Ipê</v>
      </c>
      <c r="K31" s="28" t="s">
        <v>174</v>
      </c>
      <c r="L31" s="5"/>
      <c r="M31" s="10" t="str">
        <f>_xlfn.FILTERXML(_xlfn.WEBSERVICE("viacep.com.br/ws/"&amp;TabelaPf[[#This Row],[CEP]]&amp;"/xml/"),"//bairro")</f>
        <v>Jardim Luiz Zucca</v>
      </c>
      <c r="N31" s="10" t="str">
        <f>_xlfn.FILTERXML(_xlfn.WEBSERVICE("viacep.com.br/ws/"&amp;TabelaPf[[#This Row],[CEP]]&amp;"/xml/"),"//localidade")</f>
        <v>Olímpia</v>
      </c>
      <c r="O31" s="10" t="str">
        <f>_xlfn.FILTERXML(_xlfn.WEBSERVICE("viacep.com.br/ws/"&amp;TabelaPf[[#This Row],[CEP]]&amp;"/xml/"),"//uf")</f>
        <v>SP</v>
      </c>
      <c r="P31" s="27" t="s">
        <v>68</v>
      </c>
      <c r="Q31" s="28"/>
      <c r="R31" s="5" t="s">
        <v>3</v>
      </c>
      <c r="S31" s="5" t="s">
        <v>1</v>
      </c>
      <c r="T31" s="18"/>
    </row>
    <row r="32" spans="1:20" x14ac:dyDescent="0.45">
      <c r="A32" s="28">
        <f t="shared" si="3"/>
        <v>31</v>
      </c>
      <c r="B32" s="14" t="s">
        <v>175</v>
      </c>
      <c r="C32" s="35" t="s">
        <v>176</v>
      </c>
      <c r="D32" s="13" t="s">
        <v>177</v>
      </c>
      <c r="E32" s="5" t="s">
        <v>0</v>
      </c>
      <c r="F32" s="5" t="s">
        <v>17</v>
      </c>
      <c r="G32" s="5" t="s">
        <v>24</v>
      </c>
      <c r="H32" s="5" t="s">
        <v>15</v>
      </c>
      <c r="I32" s="31" t="s">
        <v>118</v>
      </c>
      <c r="J32" s="10" t="str">
        <f>_xlfn.FILTERXML(_xlfn.WEBSERVICE("viacep.com.br/ws/"&amp;TabelaPf[[#This Row],[CEP]]&amp;"/xml/"),"//logradouro")</f>
        <v>Rua da Primavera</v>
      </c>
      <c r="K32" s="28" t="s">
        <v>178</v>
      </c>
      <c r="L32" s="5" t="s">
        <v>179</v>
      </c>
      <c r="M32" s="10" t="str">
        <f>_xlfn.FILTERXML(_xlfn.WEBSERVICE("viacep.com.br/ws/"&amp;TabelaPf[[#This Row],[CEP]]&amp;"/xml/"),"//bairro")</f>
        <v>Jardim Santa Catarina</v>
      </c>
      <c r="N32" s="10" t="str">
        <f>_xlfn.FILTERXML(_xlfn.WEBSERVICE("viacep.com.br/ws/"&amp;TabelaPf[[#This Row],[CEP]]&amp;"/xml/"),"//localidade")</f>
        <v>São José do Rio Preto</v>
      </c>
      <c r="O32" s="10" t="str">
        <f>_xlfn.FILTERXML(_xlfn.WEBSERVICE("viacep.com.br/ws/"&amp;TabelaPf[[#This Row],[CEP]]&amp;"/xml/"),"//uf")</f>
        <v>SP</v>
      </c>
      <c r="P32" s="27" t="s">
        <v>68</v>
      </c>
      <c r="Q32" s="28"/>
      <c r="R32" s="5" t="s">
        <v>2</v>
      </c>
      <c r="S32" s="5" t="s">
        <v>53</v>
      </c>
      <c r="T32" s="18"/>
    </row>
    <row r="33" spans="1:20" x14ac:dyDescent="0.45">
      <c r="A33" s="28">
        <f t="shared" si="3"/>
        <v>32</v>
      </c>
      <c r="B33" s="14" t="s">
        <v>416</v>
      </c>
      <c r="C33" s="35" t="s">
        <v>180</v>
      </c>
      <c r="D33" s="13" t="s">
        <v>181</v>
      </c>
      <c r="E33" s="5" t="s">
        <v>0</v>
      </c>
      <c r="F33" s="5" t="s">
        <v>18</v>
      </c>
      <c r="G33" s="5" t="s">
        <v>182</v>
      </c>
      <c r="H33" s="5" t="s">
        <v>15</v>
      </c>
      <c r="I33" s="31" t="s">
        <v>183</v>
      </c>
      <c r="J33" s="10" t="str">
        <f>_xlfn.FILTERXML(_xlfn.WEBSERVICE("viacep.com.br/ws/"&amp;TabelaPf[[#This Row],[CEP]]&amp;"/xml/"),"//logradouro")</f>
        <v>Rua São Paulo</v>
      </c>
      <c r="K33" s="28" t="s">
        <v>184</v>
      </c>
      <c r="L33" s="5" t="s">
        <v>185</v>
      </c>
      <c r="M33" s="10" t="str">
        <f>_xlfn.FILTERXML(_xlfn.WEBSERVICE("viacep.com.br/ws/"&amp;TabelaPf[[#This Row],[CEP]]&amp;"/xml/"),"//bairro")</f>
        <v>Patrimônio Novo</v>
      </c>
      <c r="N33" s="10" t="str">
        <f>_xlfn.FILTERXML(_xlfn.WEBSERVICE("viacep.com.br/ws/"&amp;TabelaPf[[#This Row],[CEP]]&amp;"/xml/"),"//localidade")</f>
        <v>Votuporanga</v>
      </c>
      <c r="O33" s="10" t="str">
        <f>_xlfn.FILTERXML(_xlfn.WEBSERVICE("viacep.com.br/ws/"&amp;TabelaPf[[#This Row],[CEP]]&amp;"/xml/"),"//uf")</f>
        <v>SP</v>
      </c>
      <c r="P33" s="27" t="s">
        <v>68</v>
      </c>
      <c r="Q33" s="28"/>
      <c r="R33" s="5" t="s">
        <v>2</v>
      </c>
      <c r="S33" s="5" t="s">
        <v>53</v>
      </c>
      <c r="T33" s="5"/>
    </row>
    <row r="34" spans="1:20" x14ac:dyDescent="0.45">
      <c r="A34" s="28">
        <f t="shared" si="3"/>
        <v>33</v>
      </c>
      <c r="B34" s="14" t="s">
        <v>263</v>
      </c>
      <c r="C34" s="35" t="s">
        <v>270</v>
      </c>
      <c r="D34" s="13" t="s">
        <v>264</v>
      </c>
      <c r="E34" s="5" t="s">
        <v>0</v>
      </c>
      <c r="F34" s="5" t="s">
        <v>17</v>
      </c>
      <c r="G34" s="5" t="s">
        <v>265</v>
      </c>
      <c r="H34" s="5" t="s">
        <v>15</v>
      </c>
      <c r="I34" s="31">
        <v>15015000</v>
      </c>
      <c r="J34" s="10" t="str">
        <f>_xlfn.FILTERXML(_xlfn.WEBSERVICE("viacep.com.br/ws/"&amp;TabelaPf[[#This Row],[CEP]]&amp;"/xml/"),"//logradouro")</f>
        <v>Avenida Doutor Alberto Andaló</v>
      </c>
      <c r="K34" s="28" t="s">
        <v>259</v>
      </c>
      <c r="L34" s="5" t="s">
        <v>266</v>
      </c>
      <c r="M34" s="10" t="str">
        <f>_xlfn.FILTERXML(_xlfn.WEBSERVICE("viacep.com.br/ws/"&amp;TabelaPf[[#This Row],[CEP]]&amp;"/xml/"),"//bairro")</f>
        <v>Centro</v>
      </c>
      <c r="N34" s="10" t="str">
        <f>_xlfn.FILTERXML(_xlfn.WEBSERVICE("viacep.com.br/ws/"&amp;TabelaPf[[#This Row],[CEP]]&amp;"/xml/"),"//localidade")</f>
        <v>São José do Rio Preto</v>
      </c>
      <c r="O34" s="10" t="str">
        <f>_xlfn.FILTERXML(_xlfn.WEBSERVICE("viacep.com.br/ws/"&amp;TabelaPf[[#This Row],[CEP]]&amp;"/xml/"),"//uf")</f>
        <v>SP</v>
      </c>
      <c r="P34" s="27" t="s">
        <v>68</v>
      </c>
      <c r="Q34" s="28"/>
      <c r="R34" s="5" t="s">
        <v>2</v>
      </c>
      <c r="S34" s="5" t="s">
        <v>53</v>
      </c>
      <c r="T34" s="5"/>
    </row>
    <row r="35" spans="1:20" x14ac:dyDescent="0.45">
      <c r="A35" s="28">
        <f t="shared" si="3"/>
        <v>34</v>
      </c>
      <c r="B35" s="14" t="s">
        <v>268</v>
      </c>
      <c r="C35" s="35" t="s">
        <v>269</v>
      </c>
      <c r="D35" s="13" t="s">
        <v>271</v>
      </c>
      <c r="E35" s="5" t="s">
        <v>0</v>
      </c>
      <c r="F35" s="5" t="s">
        <v>78</v>
      </c>
      <c r="G35" s="5" t="s">
        <v>21</v>
      </c>
      <c r="H35" s="5" t="s">
        <v>15</v>
      </c>
      <c r="I35" s="31">
        <v>15015000</v>
      </c>
      <c r="J35" s="10" t="str">
        <f>_xlfn.FILTERXML(_xlfn.WEBSERVICE("viacep.com.br/ws/"&amp;TabelaPf[[#This Row],[CEP]]&amp;"/xml/"),"//logradouro")</f>
        <v>Avenida Doutor Alberto Andaló</v>
      </c>
      <c r="K35" s="28" t="s">
        <v>259</v>
      </c>
      <c r="L35" s="5" t="s">
        <v>272</v>
      </c>
      <c r="M35" s="10" t="str">
        <f>_xlfn.FILTERXML(_xlfn.WEBSERVICE("viacep.com.br/ws/"&amp;TabelaPf[[#This Row],[CEP]]&amp;"/xml/"),"//bairro")</f>
        <v>Centro</v>
      </c>
      <c r="N35" s="10" t="str">
        <f>_xlfn.FILTERXML(_xlfn.WEBSERVICE("viacep.com.br/ws/"&amp;TabelaPf[[#This Row],[CEP]]&amp;"/xml/"),"//localidade")</f>
        <v>São José do Rio Preto</v>
      </c>
      <c r="O35" s="10" t="str">
        <f>_xlfn.FILTERXML(_xlfn.WEBSERVICE("viacep.com.br/ws/"&amp;TabelaPf[[#This Row],[CEP]]&amp;"/xml/"),"//uf")</f>
        <v>SP</v>
      </c>
      <c r="P35" s="28" t="s">
        <v>68</v>
      </c>
      <c r="Q35" s="28"/>
      <c r="R35" s="5" t="s">
        <v>2</v>
      </c>
      <c r="S35" s="5" t="s">
        <v>53</v>
      </c>
      <c r="T35" s="5"/>
    </row>
    <row r="36" spans="1:20" x14ac:dyDescent="0.45">
      <c r="A36" s="28">
        <f t="shared" ref="A36:A54" si="4">ROW(A35 )</f>
        <v>35</v>
      </c>
      <c r="B36" s="14" t="s">
        <v>275</v>
      </c>
      <c r="C36" s="35" t="s">
        <v>276</v>
      </c>
      <c r="D36" s="13" t="s">
        <v>277</v>
      </c>
      <c r="E36" s="5" t="s">
        <v>0</v>
      </c>
      <c r="F36" s="5" t="s">
        <v>16</v>
      </c>
      <c r="G36" s="5" t="s">
        <v>65</v>
      </c>
      <c r="H36" s="5" t="s">
        <v>15</v>
      </c>
      <c r="I36" s="31" t="s">
        <v>278</v>
      </c>
      <c r="J36" s="10" t="str">
        <f>_xlfn.FILTERXML(_xlfn.WEBSERVICE("viacep.com.br/ws/"&amp;TabelaPf[[#This Row],[CEP]]&amp;"/xml/"),"//logradouro")</f>
        <v>Avenida Murchid Homsi</v>
      </c>
      <c r="K36" s="28" t="s">
        <v>279</v>
      </c>
      <c r="L36" s="5" t="s">
        <v>280</v>
      </c>
      <c r="M36" s="10" t="str">
        <f>_xlfn.FILTERXML(_xlfn.WEBSERVICE("viacep.com.br/ws/"&amp;TabelaPf[[#This Row],[CEP]]&amp;"/xml/"),"//bairro")</f>
        <v>Jardim Santa Maria</v>
      </c>
      <c r="N36" s="10" t="str">
        <f>_xlfn.FILTERXML(_xlfn.WEBSERVICE("viacep.com.br/ws/"&amp;TabelaPf[[#This Row],[CEP]]&amp;"/xml/"),"//localidade")</f>
        <v>São José do Rio Preto</v>
      </c>
      <c r="O36" s="10" t="str">
        <f>_xlfn.FILTERXML(_xlfn.WEBSERVICE("viacep.com.br/ws/"&amp;TabelaPf[[#This Row],[CEP]]&amp;"/xml/"),"//uf")</f>
        <v>SP</v>
      </c>
      <c r="P36" s="28" t="s">
        <v>68</v>
      </c>
      <c r="Q36" s="28"/>
      <c r="R36" s="5" t="s">
        <v>2</v>
      </c>
      <c r="S36" s="5" t="s">
        <v>53</v>
      </c>
      <c r="T36" s="5"/>
    </row>
    <row r="37" spans="1:20" x14ac:dyDescent="0.45">
      <c r="A37" s="28">
        <f t="shared" si="4"/>
        <v>36</v>
      </c>
      <c r="B37" s="14" t="s">
        <v>281</v>
      </c>
      <c r="C37" s="35" t="s">
        <v>282</v>
      </c>
      <c r="D37" s="13" t="s">
        <v>283</v>
      </c>
      <c r="E37" s="5" t="s">
        <v>0</v>
      </c>
      <c r="F37" s="5" t="s">
        <v>17</v>
      </c>
      <c r="G37" s="5" t="s">
        <v>284</v>
      </c>
      <c r="H37" s="5" t="s">
        <v>15</v>
      </c>
      <c r="I37" s="31" t="s">
        <v>285</v>
      </c>
      <c r="J37" s="10" t="str">
        <f>_xlfn.FILTERXML(_xlfn.WEBSERVICE("viacep.com.br/ws/"&amp;TabelaPf[[#This Row],[CEP]]&amp;"/xml/"),"//logradouro")</f>
        <v>Rua Atílio Luiz Fasanelli</v>
      </c>
      <c r="K37" s="28" t="s">
        <v>286</v>
      </c>
      <c r="L37" s="5" t="s">
        <v>287</v>
      </c>
      <c r="M37" s="10" t="str">
        <f>_xlfn.FILTERXML(_xlfn.WEBSERVICE("viacep.com.br/ws/"&amp;TabelaPf[[#This Row],[CEP]]&amp;"/xml/"),"//bairro")</f>
        <v>Jardim Panorama</v>
      </c>
      <c r="N37" s="10" t="str">
        <f>_xlfn.FILTERXML(_xlfn.WEBSERVICE("viacep.com.br/ws/"&amp;TabelaPf[[#This Row],[CEP]]&amp;"/xml/"),"//localidade")</f>
        <v>São José do Rio Preto</v>
      </c>
      <c r="O37" s="10" t="str">
        <f>_xlfn.FILTERXML(_xlfn.WEBSERVICE("viacep.com.br/ws/"&amp;TabelaPf[[#This Row],[CEP]]&amp;"/xml/"),"//uf")</f>
        <v>SP</v>
      </c>
      <c r="P37" s="28" t="s">
        <v>68</v>
      </c>
      <c r="Q37" s="28"/>
      <c r="R37" s="5" t="s">
        <v>2</v>
      </c>
      <c r="S37" s="5" t="s">
        <v>53</v>
      </c>
      <c r="T37" s="5"/>
    </row>
    <row r="38" spans="1:20" x14ac:dyDescent="0.45">
      <c r="A38" s="28">
        <f t="shared" si="4"/>
        <v>37</v>
      </c>
      <c r="B38" s="14" t="s">
        <v>288</v>
      </c>
      <c r="C38" s="35" t="s">
        <v>291</v>
      </c>
      <c r="D38" s="13">
        <v>19242036</v>
      </c>
      <c r="E38" s="5" t="s">
        <v>0</v>
      </c>
      <c r="F38" s="5" t="s">
        <v>17</v>
      </c>
      <c r="G38" s="5" t="s">
        <v>172</v>
      </c>
      <c r="H38" s="5" t="s">
        <v>15</v>
      </c>
      <c r="I38" s="31" t="s">
        <v>289</v>
      </c>
      <c r="J38" s="10" t="str">
        <f>_xlfn.FILTERXML(_xlfn.WEBSERVICE("viacep.com.br/ws/"&amp;TabelaPf[[#This Row],[CEP]]&amp;"/xml/"),"//logradouro")</f>
        <v>Rua Luzia da Silva Rey</v>
      </c>
      <c r="K38" s="28" t="s">
        <v>290</v>
      </c>
      <c r="L38" s="5"/>
      <c r="M38" s="10" t="str">
        <f>_xlfn.FILTERXML(_xlfn.WEBSERVICE("viacep.com.br/ws/"&amp;TabelaPf[[#This Row],[CEP]]&amp;"/xml/"),"//bairro")</f>
        <v>Residencial Jardim Antonieta</v>
      </c>
      <c r="N38" s="10" t="str">
        <f>_xlfn.FILTERXML(_xlfn.WEBSERVICE("viacep.com.br/ws/"&amp;TabelaPf[[#This Row],[CEP]]&amp;"/xml/"),"//localidade")</f>
        <v>São José do Rio Preto</v>
      </c>
      <c r="O38" s="10" t="str">
        <f>_xlfn.FILTERXML(_xlfn.WEBSERVICE("viacep.com.br/ws/"&amp;TabelaPf[[#This Row],[CEP]]&amp;"/xml/"),"//uf")</f>
        <v>SP</v>
      </c>
      <c r="P38" s="28" t="s">
        <v>68</v>
      </c>
      <c r="Q38" s="28"/>
      <c r="R38" s="5" t="s">
        <v>2</v>
      </c>
      <c r="S38" s="5" t="s">
        <v>53</v>
      </c>
      <c r="T38" s="5"/>
    </row>
    <row r="39" spans="1:20" x14ac:dyDescent="0.45">
      <c r="A39" s="28">
        <f t="shared" si="4"/>
        <v>38</v>
      </c>
      <c r="B39" s="14" t="s">
        <v>296</v>
      </c>
      <c r="C39" s="35" t="s">
        <v>299</v>
      </c>
      <c r="D39" s="13" t="s">
        <v>297</v>
      </c>
      <c r="E39" s="5" t="s">
        <v>0</v>
      </c>
      <c r="F39" s="5" t="s">
        <v>17</v>
      </c>
      <c r="G39" s="5" t="s">
        <v>298</v>
      </c>
      <c r="H39" s="5" t="s">
        <v>15</v>
      </c>
      <c r="I39" s="31" t="s">
        <v>300</v>
      </c>
      <c r="J39" s="10" t="str">
        <f>_xlfn.FILTERXML(_xlfn.WEBSERVICE("viacep.com.br/ws/"&amp;TabelaPf[[#This Row],[CEP]]&amp;"/xml/"),"//logradouro")</f>
        <v>Rua Nelson Freitas</v>
      </c>
      <c r="K39" s="28" t="s">
        <v>301</v>
      </c>
      <c r="L39" s="5" t="s">
        <v>302</v>
      </c>
      <c r="M39" s="10" t="str">
        <f>_xlfn.FILTERXML(_xlfn.WEBSERVICE("viacep.com.br/ws/"&amp;TabelaPf[[#This Row],[CEP]]&amp;"/xml/"),"//bairro")</f>
        <v>Parque Residencial Lauriano Tebar</v>
      </c>
      <c r="N39" s="10" t="str">
        <f>_xlfn.FILTERXML(_xlfn.WEBSERVICE("viacep.com.br/ws/"&amp;TabelaPf[[#This Row],[CEP]]&amp;"/xml/"),"//localidade")</f>
        <v>São José do Rio Preto</v>
      </c>
      <c r="O39" s="10" t="str">
        <f>_xlfn.FILTERXML(_xlfn.WEBSERVICE("viacep.com.br/ws/"&amp;TabelaPf[[#This Row],[CEP]]&amp;"/xml/"),"//uf")</f>
        <v>SP</v>
      </c>
      <c r="P39" s="28" t="s">
        <v>68</v>
      </c>
      <c r="Q39" s="28"/>
      <c r="R39" s="5" t="s">
        <v>303</v>
      </c>
      <c r="S39" s="5" t="s">
        <v>53</v>
      </c>
      <c r="T39" s="5"/>
    </row>
    <row r="40" spans="1:20" x14ac:dyDescent="0.45">
      <c r="A40" s="28">
        <f t="shared" si="4"/>
        <v>39</v>
      </c>
      <c r="B40" s="14" t="s">
        <v>311</v>
      </c>
      <c r="C40" s="35" t="s">
        <v>313</v>
      </c>
      <c r="D40" s="13" t="s">
        <v>312</v>
      </c>
      <c r="E40" s="5" t="s">
        <v>0</v>
      </c>
      <c r="F40" s="5" t="s">
        <v>17</v>
      </c>
      <c r="G40" s="5" t="s">
        <v>314</v>
      </c>
      <c r="H40" s="5" t="s">
        <v>15</v>
      </c>
      <c r="I40" s="31" t="s">
        <v>315</v>
      </c>
      <c r="J40" s="10" t="str">
        <f>_xlfn.FILTERXML(_xlfn.WEBSERVICE("viacep.com.br/ws/"&amp;TabelaPf[[#This Row],[CEP]]&amp;"/xml/"),"//logradouro")</f>
        <v>Rua Joaquim Manoel Pires</v>
      </c>
      <c r="K40" s="28" t="s">
        <v>316</v>
      </c>
      <c r="L40" s="5"/>
      <c r="M40" s="10" t="str">
        <f>_xlfn.FILTERXML(_xlfn.WEBSERVICE("viacep.com.br/ws/"&amp;TabelaPf[[#This Row],[CEP]]&amp;"/xml/"),"//bairro")</f>
        <v>Pinheiros</v>
      </c>
      <c r="N40" s="10" t="str">
        <f>_xlfn.FILTERXML(_xlfn.WEBSERVICE("viacep.com.br/ws/"&amp;TabelaPf[[#This Row],[CEP]]&amp;"/xml/"),"//localidade")</f>
        <v>São José do Rio Preto</v>
      </c>
      <c r="O40" s="10" t="str">
        <f>_xlfn.FILTERXML(_xlfn.WEBSERVICE("viacep.com.br/ws/"&amp;TabelaPf[[#This Row],[CEP]]&amp;"/xml/"),"//uf")</f>
        <v>SP</v>
      </c>
      <c r="P40" s="28" t="s">
        <v>68</v>
      </c>
      <c r="Q40" s="28"/>
      <c r="R40" s="5" t="s">
        <v>303</v>
      </c>
      <c r="S40" s="5" t="s">
        <v>53</v>
      </c>
      <c r="T40" s="5"/>
    </row>
    <row r="41" spans="1:20" x14ac:dyDescent="0.45">
      <c r="A41" s="28">
        <f t="shared" si="4"/>
        <v>40</v>
      </c>
      <c r="B41" s="14" t="s">
        <v>317</v>
      </c>
      <c r="C41" s="35" t="s">
        <v>318</v>
      </c>
      <c r="D41" s="13">
        <v>38085168</v>
      </c>
      <c r="E41" s="5" t="s">
        <v>0</v>
      </c>
      <c r="F41" s="5" t="s">
        <v>18</v>
      </c>
      <c r="G41" s="5" t="s">
        <v>319</v>
      </c>
      <c r="H41" s="5" t="s">
        <v>15</v>
      </c>
      <c r="I41" s="31" t="s">
        <v>320</v>
      </c>
      <c r="J41" s="10" t="str">
        <f>_xlfn.FILTERXML(_xlfn.WEBSERVICE("viacep.com.br/ws/"&amp;TabelaPf[[#This Row],[CEP]]&amp;"/xml/"),"//logradouro")</f>
        <v>Avenida Francisco Jalles Neto</v>
      </c>
      <c r="K41" s="28" t="s">
        <v>321</v>
      </c>
      <c r="L41" s="5" t="s">
        <v>322</v>
      </c>
      <c r="M41" s="10" t="str">
        <f>_xlfn.FILTERXML(_xlfn.WEBSERVICE("viacep.com.br/ws/"&amp;TabelaPf[[#This Row],[CEP]]&amp;"/xml/"),"//bairro")</f>
        <v>Parque Residencial Damha VI</v>
      </c>
      <c r="N41" s="10" t="str">
        <f>_xlfn.FILTERXML(_xlfn.WEBSERVICE("viacep.com.br/ws/"&amp;TabelaPf[[#This Row],[CEP]]&amp;"/xml/"),"//localidade")</f>
        <v>São José do Rio Preto</v>
      </c>
      <c r="O41" s="10" t="str">
        <f>_xlfn.FILTERXML(_xlfn.WEBSERVICE("viacep.com.br/ws/"&amp;TabelaPf[[#This Row],[CEP]]&amp;"/xml/"),"//uf")</f>
        <v>SP</v>
      </c>
      <c r="P41" s="28" t="s">
        <v>68</v>
      </c>
      <c r="Q41" s="28"/>
      <c r="R41" s="5" t="s">
        <v>303</v>
      </c>
      <c r="S41" s="5" t="s">
        <v>53</v>
      </c>
      <c r="T41" s="5"/>
    </row>
    <row r="42" spans="1:20" x14ac:dyDescent="0.45">
      <c r="A42" s="28">
        <f t="shared" si="4"/>
        <v>41</v>
      </c>
      <c r="B42" s="14" t="s">
        <v>323</v>
      </c>
      <c r="C42" s="35" t="s">
        <v>324</v>
      </c>
      <c r="D42" s="13">
        <v>41878289</v>
      </c>
      <c r="E42" s="5" t="s">
        <v>0</v>
      </c>
      <c r="F42" s="5" t="s">
        <v>17</v>
      </c>
      <c r="G42" s="5" t="s">
        <v>325</v>
      </c>
      <c r="H42" s="5" t="s">
        <v>15</v>
      </c>
      <c r="I42" s="31" t="s">
        <v>326</v>
      </c>
      <c r="J42" s="10" t="str">
        <f>_xlfn.FILTERXML(_xlfn.WEBSERVICE("viacep.com.br/ws/"&amp;TabelaPf[[#This Row],[CEP]]&amp;"/xml/"),"//logradouro")</f>
        <v>Rua Antonio Beluci</v>
      </c>
      <c r="K42" s="28" t="s">
        <v>327</v>
      </c>
      <c r="L42" s="5"/>
      <c r="M42" s="10" t="str">
        <f>_xlfn.FILTERXML(_xlfn.WEBSERVICE("viacep.com.br/ws/"&amp;TabelaPf[[#This Row],[CEP]]&amp;"/xml/"),"//bairro")</f>
        <v>Jardim Astúrias</v>
      </c>
      <c r="N42" s="10" t="str">
        <f>_xlfn.FILTERXML(_xlfn.WEBSERVICE("viacep.com.br/ws/"&amp;TabelaPf[[#This Row],[CEP]]&amp;"/xml/"),"//localidade")</f>
        <v>São José do Rio Preto</v>
      </c>
      <c r="O42" s="10" t="str">
        <f>_xlfn.FILTERXML(_xlfn.WEBSERVICE("viacep.com.br/ws/"&amp;TabelaPf[[#This Row],[CEP]]&amp;"/xml/"),"//uf")</f>
        <v>SP</v>
      </c>
      <c r="P42" s="28" t="s">
        <v>68</v>
      </c>
      <c r="Q42" s="28"/>
      <c r="R42" s="5" t="s">
        <v>303</v>
      </c>
      <c r="S42" s="5" t="s">
        <v>53</v>
      </c>
      <c r="T42" s="5"/>
    </row>
    <row r="43" spans="1:20" x14ac:dyDescent="0.45">
      <c r="A43" s="28">
        <f t="shared" si="4"/>
        <v>42</v>
      </c>
      <c r="B43" s="14" t="s">
        <v>328</v>
      </c>
      <c r="C43" s="35" t="s">
        <v>329</v>
      </c>
      <c r="D43" s="13">
        <v>44116561</v>
      </c>
      <c r="E43" s="5" t="s">
        <v>0</v>
      </c>
      <c r="F43" s="5" t="s">
        <v>18</v>
      </c>
      <c r="G43" s="5" t="s">
        <v>330</v>
      </c>
      <c r="H43" s="5" t="s">
        <v>15</v>
      </c>
      <c r="I43" s="31" t="s">
        <v>331</v>
      </c>
      <c r="J43" s="10" t="str">
        <f>_xlfn.FILTERXML(_xlfn.WEBSERVICE("viacep.com.br/ws/"&amp;TabelaPf[[#This Row],[CEP]]&amp;"/xml/"),"//logradouro")</f>
        <v>Rua Otávio Pinto Cesar</v>
      </c>
      <c r="K43" s="28" t="s">
        <v>332</v>
      </c>
      <c r="L43" s="5" t="s">
        <v>333</v>
      </c>
      <c r="M43" s="10" t="str">
        <f>_xlfn.FILTERXML(_xlfn.WEBSERVICE("viacep.com.br/ws/"&amp;TabelaPf[[#This Row],[CEP]]&amp;"/xml/"),"//bairro")</f>
        <v>Cidade Nova</v>
      </c>
      <c r="N43" s="10" t="str">
        <f>_xlfn.FILTERXML(_xlfn.WEBSERVICE("viacep.com.br/ws/"&amp;TabelaPf[[#This Row],[CEP]]&amp;"/xml/"),"//localidade")</f>
        <v>São José do Rio Preto</v>
      </c>
      <c r="O43" s="10" t="str">
        <f>_xlfn.FILTERXML(_xlfn.WEBSERVICE("viacep.com.br/ws/"&amp;TabelaPf[[#This Row],[CEP]]&amp;"/xml/"),"//uf")</f>
        <v>SP</v>
      </c>
      <c r="P43" s="28" t="s">
        <v>68</v>
      </c>
      <c r="Q43" s="28"/>
      <c r="R43" s="5" t="s">
        <v>303</v>
      </c>
      <c r="S43" s="5" t="s">
        <v>53</v>
      </c>
      <c r="T43" s="5"/>
    </row>
    <row r="44" spans="1:20" x14ac:dyDescent="0.45">
      <c r="A44" s="28">
        <f t="shared" si="4"/>
        <v>43</v>
      </c>
      <c r="B44" s="14" t="s">
        <v>334</v>
      </c>
      <c r="C44" s="35" t="s">
        <v>336</v>
      </c>
      <c r="D44" s="13" t="s">
        <v>335</v>
      </c>
      <c r="E44" s="5" t="s">
        <v>0</v>
      </c>
      <c r="F44" s="5" t="s">
        <v>18</v>
      </c>
      <c r="G44" s="5" t="s">
        <v>337</v>
      </c>
      <c r="H44" s="5" t="s">
        <v>15</v>
      </c>
      <c r="I44" s="31" t="s">
        <v>331</v>
      </c>
      <c r="J44" s="10" t="str">
        <f>_xlfn.FILTERXML(_xlfn.WEBSERVICE("viacep.com.br/ws/"&amp;TabelaPf[[#This Row],[CEP]]&amp;"/xml/"),"//logradouro")</f>
        <v>Rua Otávio Pinto Cesar</v>
      </c>
      <c r="K44" s="28" t="s">
        <v>332</v>
      </c>
      <c r="L44" s="5" t="s">
        <v>333</v>
      </c>
      <c r="M44" s="10" t="str">
        <f>_xlfn.FILTERXML(_xlfn.WEBSERVICE("viacep.com.br/ws/"&amp;TabelaPf[[#This Row],[CEP]]&amp;"/xml/"),"//bairro")</f>
        <v>Cidade Nova</v>
      </c>
      <c r="N44" s="10" t="str">
        <f>_xlfn.FILTERXML(_xlfn.WEBSERVICE("viacep.com.br/ws/"&amp;TabelaPf[[#This Row],[CEP]]&amp;"/xml/"),"//localidade")</f>
        <v>São José do Rio Preto</v>
      </c>
      <c r="O44" s="10" t="str">
        <f>_xlfn.FILTERXML(_xlfn.WEBSERVICE("viacep.com.br/ws/"&amp;TabelaPf[[#This Row],[CEP]]&amp;"/xml/"),"//uf")</f>
        <v>SP</v>
      </c>
      <c r="P44" s="28" t="s">
        <v>68</v>
      </c>
      <c r="Q44" s="28"/>
      <c r="R44" s="5" t="s">
        <v>303</v>
      </c>
      <c r="S44" s="5" t="s">
        <v>53</v>
      </c>
      <c r="T44" s="5"/>
    </row>
    <row r="45" spans="1:20" x14ac:dyDescent="0.45">
      <c r="A45" s="28">
        <f t="shared" si="4"/>
        <v>44</v>
      </c>
      <c r="B45" s="14" t="s">
        <v>338</v>
      </c>
      <c r="C45" s="35" t="s">
        <v>341</v>
      </c>
      <c r="D45" s="13" t="s">
        <v>340</v>
      </c>
      <c r="E45" s="5" t="s">
        <v>0</v>
      </c>
      <c r="F45" s="5" t="s">
        <v>18</v>
      </c>
      <c r="G45" s="5" t="s">
        <v>172</v>
      </c>
      <c r="H45" s="5" t="s">
        <v>15</v>
      </c>
      <c r="I45" s="31" t="s">
        <v>343</v>
      </c>
      <c r="J45" s="10" t="str">
        <f>_xlfn.FILTERXML(_xlfn.WEBSERVICE("viacep.com.br/ws/"&amp;TabelaPf[[#This Row],[CEP]]&amp;"/xml/"),"//logradouro")</f>
        <v>Rua Elias Ismael</v>
      </c>
      <c r="K45" s="28" t="s">
        <v>344</v>
      </c>
      <c r="L45" s="5"/>
      <c r="M45" s="10" t="str">
        <f>_xlfn.FILTERXML(_xlfn.WEBSERVICE("viacep.com.br/ws/"&amp;TabelaPf[[#This Row],[CEP]]&amp;"/xml/"),"//bairro")</f>
        <v>Jardim Maria Lúcia</v>
      </c>
      <c r="N45" s="10" t="str">
        <f>_xlfn.FILTERXML(_xlfn.WEBSERVICE("viacep.com.br/ws/"&amp;TabelaPf[[#This Row],[CEP]]&amp;"/xml/"),"//localidade")</f>
        <v>São José do Rio Preto</v>
      </c>
      <c r="O45" s="10" t="str">
        <f>_xlfn.FILTERXML(_xlfn.WEBSERVICE("viacep.com.br/ws/"&amp;TabelaPf[[#This Row],[CEP]]&amp;"/xml/"),"//uf")</f>
        <v>SP</v>
      </c>
      <c r="P45" s="28" t="s">
        <v>68</v>
      </c>
      <c r="Q45" s="28"/>
      <c r="R45" s="5" t="s">
        <v>303</v>
      </c>
      <c r="S45" s="5" t="s">
        <v>53</v>
      </c>
      <c r="T45" s="5"/>
    </row>
    <row r="46" spans="1:20" x14ac:dyDescent="0.45">
      <c r="A46" s="28">
        <f t="shared" si="4"/>
        <v>45</v>
      </c>
      <c r="B46" s="14" t="s">
        <v>339</v>
      </c>
      <c r="C46" s="35" t="s">
        <v>342</v>
      </c>
      <c r="D46" s="13">
        <v>41492050</v>
      </c>
      <c r="E46" s="5" t="s">
        <v>0</v>
      </c>
      <c r="F46" s="5" t="s">
        <v>18</v>
      </c>
      <c r="G46" s="5" t="s">
        <v>337</v>
      </c>
      <c r="H46" s="5" t="s">
        <v>15</v>
      </c>
      <c r="I46" s="31" t="s">
        <v>343</v>
      </c>
      <c r="J46" s="10" t="str">
        <f>_xlfn.FILTERXML(_xlfn.WEBSERVICE("viacep.com.br/ws/"&amp;TabelaPf[[#This Row],[CEP]]&amp;"/xml/"),"//logradouro")</f>
        <v>Rua Elias Ismael</v>
      </c>
      <c r="K46" s="28" t="s">
        <v>344</v>
      </c>
      <c r="L46" s="5"/>
      <c r="M46" s="10" t="str">
        <f>_xlfn.FILTERXML(_xlfn.WEBSERVICE("viacep.com.br/ws/"&amp;TabelaPf[[#This Row],[CEP]]&amp;"/xml/"),"//bairro")</f>
        <v>Jardim Maria Lúcia</v>
      </c>
      <c r="N46" s="10" t="str">
        <f>_xlfn.FILTERXML(_xlfn.WEBSERVICE("viacep.com.br/ws/"&amp;TabelaPf[[#This Row],[CEP]]&amp;"/xml/"),"//localidade")</f>
        <v>São José do Rio Preto</v>
      </c>
      <c r="O46" s="10" t="str">
        <f>_xlfn.FILTERXML(_xlfn.WEBSERVICE("viacep.com.br/ws/"&amp;TabelaPf[[#This Row],[CEP]]&amp;"/xml/"),"//uf")</f>
        <v>SP</v>
      </c>
      <c r="P46" s="28" t="s">
        <v>68</v>
      </c>
      <c r="Q46" s="28"/>
      <c r="R46" s="5" t="s">
        <v>303</v>
      </c>
      <c r="S46" s="5" t="s">
        <v>53</v>
      </c>
      <c r="T46" s="5"/>
    </row>
    <row r="47" spans="1:20" x14ac:dyDescent="0.45">
      <c r="A47" s="28">
        <f t="shared" si="4"/>
        <v>46</v>
      </c>
      <c r="B47" s="14" t="s">
        <v>345</v>
      </c>
      <c r="C47" s="35" t="s">
        <v>347</v>
      </c>
      <c r="D47" s="13" t="s">
        <v>346</v>
      </c>
      <c r="E47" s="5" t="s">
        <v>0</v>
      </c>
      <c r="F47" s="5" t="s">
        <v>16</v>
      </c>
      <c r="G47" s="5" t="s">
        <v>158</v>
      </c>
      <c r="H47" s="5" t="s">
        <v>15</v>
      </c>
      <c r="I47" s="31" t="s">
        <v>348</v>
      </c>
      <c r="J47" s="10" t="str">
        <f>_xlfn.FILTERXML(_xlfn.WEBSERVICE("viacep.com.br/ws/"&amp;TabelaPf[[#This Row],[CEP]]&amp;"/xml/"),"//logradouro")</f>
        <v>Avenida Benedito Rodrigues Lisboa</v>
      </c>
      <c r="K47" s="28" t="s">
        <v>349</v>
      </c>
      <c r="L47" s="5" t="s">
        <v>350</v>
      </c>
      <c r="M47" s="10" t="str">
        <f>_xlfn.FILTERXML(_xlfn.WEBSERVICE("viacep.com.br/ws/"&amp;TabelaPf[[#This Row],[CEP]]&amp;"/xml/"),"//bairro")</f>
        <v>Jardim Vivendas</v>
      </c>
      <c r="N47" s="10" t="str">
        <f>_xlfn.FILTERXML(_xlfn.WEBSERVICE("viacep.com.br/ws/"&amp;TabelaPf[[#This Row],[CEP]]&amp;"/xml/"),"//localidade")</f>
        <v>São José do Rio Preto</v>
      </c>
      <c r="O47" s="10" t="str">
        <f>_xlfn.FILTERXML(_xlfn.WEBSERVICE("viacep.com.br/ws/"&amp;TabelaPf[[#This Row],[CEP]]&amp;"/xml/"),"//uf")</f>
        <v>SP</v>
      </c>
      <c r="P47" s="28" t="s">
        <v>68</v>
      </c>
      <c r="Q47" s="28"/>
      <c r="R47" s="5" t="s">
        <v>303</v>
      </c>
      <c r="S47" s="5" t="s">
        <v>53</v>
      </c>
      <c r="T47" s="5"/>
    </row>
    <row r="48" spans="1:20" x14ac:dyDescent="0.45">
      <c r="A48" s="28">
        <f t="shared" si="4"/>
        <v>47</v>
      </c>
      <c r="B48" s="14" t="s">
        <v>351</v>
      </c>
      <c r="C48" s="35" t="s">
        <v>352</v>
      </c>
      <c r="D48" s="13" t="s">
        <v>353</v>
      </c>
      <c r="E48" s="5" t="s">
        <v>0</v>
      </c>
      <c r="F48" s="5" t="s">
        <v>16</v>
      </c>
      <c r="G48" s="5" t="s">
        <v>158</v>
      </c>
      <c r="H48" s="5" t="s">
        <v>15</v>
      </c>
      <c r="I48" s="31" t="s">
        <v>354</v>
      </c>
      <c r="J48" s="10" t="str">
        <f>_xlfn.FILTERXML(_xlfn.WEBSERVICE("viacep.com.br/ws/"&amp;TabelaPf[[#This Row],[CEP]]&amp;"/xml/"),"//logradouro")</f>
        <v>Avenida Miguel Damha</v>
      </c>
      <c r="K48" s="28" t="s">
        <v>355</v>
      </c>
      <c r="L48" s="5" t="s">
        <v>356</v>
      </c>
      <c r="M48" s="10" t="str">
        <f>_xlfn.FILTERXML(_xlfn.WEBSERVICE("viacep.com.br/ws/"&amp;TabelaPf[[#This Row],[CEP]]&amp;"/xml/"),"//bairro")</f>
        <v>Parque Residencial Damha IV</v>
      </c>
      <c r="N48" s="10" t="str">
        <f>_xlfn.FILTERXML(_xlfn.WEBSERVICE("viacep.com.br/ws/"&amp;TabelaPf[[#This Row],[CEP]]&amp;"/xml/"),"//localidade")</f>
        <v>São José do Rio Preto</v>
      </c>
      <c r="O48" s="10" t="str">
        <f>_xlfn.FILTERXML(_xlfn.WEBSERVICE("viacep.com.br/ws/"&amp;TabelaPf[[#This Row],[CEP]]&amp;"/xml/"),"//uf")</f>
        <v>SP</v>
      </c>
      <c r="P48" s="28" t="s">
        <v>68</v>
      </c>
      <c r="Q48" s="28"/>
      <c r="R48" s="5" t="s">
        <v>303</v>
      </c>
      <c r="S48" s="5" t="s">
        <v>53</v>
      </c>
      <c r="T48" s="5"/>
    </row>
    <row r="49" spans="1:20" x14ac:dyDescent="0.45">
      <c r="A49" s="28">
        <f t="shared" si="4"/>
        <v>48</v>
      </c>
      <c r="B49" s="14" t="s">
        <v>357</v>
      </c>
      <c r="C49" s="35" t="s">
        <v>359</v>
      </c>
      <c r="D49" s="13" t="s">
        <v>358</v>
      </c>
      <c r="E49" s="5" t="s">
        <v>0</v>
      </c>
      <c r="F49" s="5" t="s">
        <v>16</v>
      </c>
      <c r="G49" s="5" t="s">
        <v>24</v>
      </c>
      <c r="H49" s="5" t="s">
        <v>15</v>
      </c>
      <c r="I49" s="31" t="s">
        <v>360</v>
      </c>
      <c r="J49" s="10" t="str">
        <f>_xlfn.FILTERXML(_xlfn.WEBSERVICE("viacep.com.br/ws/"&amp;TabelaPf[[#This Row],[CEP]]&amp;"/xml/"),"//logradouro")</f>
        <v>Avenida Belvedere</v>
      </c>
      <c r="K49" s="28" t="s">
        <v>361</v>
      </c>
      <c r="L49" s="5" t="s">
        <v>362</v>
      </c>
      <c r="M49" s="10" t="str">
        <f>_xlfn.FILTERXML(_xlfn.WEBSERVICE("viacep.com.br/ws/"&amp;TabelaPf[[#This Row],[CEP]]&amp;"/xml/"),"//bairro")</f>
        <v>Condomínio Residencial Jardins de Barcelona</v>
      </c>
      <c r="N49" s="10" t="str">
        <f>_xlfn.FILTERXML(_xlfn.WEBSERVICE("viacep.com.br/ws/"&amp;TabelaPf[[#This Row],[CEP]]&amp;"/xml/"),"//localidade")</f>
        <v>São José do Rio Preto</v>
      </c>
      <c r="O49" s="10" t="str">
        <f>_xlfn.FILTERXML(_xlfn.WEBSERVICE("viacep.com.br/ws/"&amp;TabelaPf[[#This Row],[CEP]]&amp;"/xml/"),"//uf")</f>
        <v>SP</v>
      </c>
      <c r="P49" s="28" t="s">
        <v>68</v>
      </c>
      <c r="Q49" s="28"/>
      <c r="R49" s="5" t="s">
        <v>303</v>
      </c>
      <c r="S49" s="5" t="s">
        <v>53</v>
      </c>
      <c r="T49" s="5"/>
    </row>
    <row r="50" spans="1:20" x14ac:dyDescent="0.45">
      <c r="A50" s="28">
        <f t="shared" si="4"/>
        <v>49</v>
      </c>
      <c r="B50" s="14" t="s">
        <v>363</v>
      </c>
      <c r="C50" s="35" t="s">
        <v>365</v>
      </c>
      <c r="D50" s="13">
        <v>17105082</v>
      </c>
      <c r="E50" s="5" t="s">
        <v>364</v>
      </c>
      <c r="F50" s="5" t="s">
        <v>16</v>
      </c>
      <c r="G50" s="5" t="s">
        <v>24</v>
      </c>
      <c r="H50" s="5" t="s">
        <v>15</v>
      </c>
      <c r="I50" s="31" t="s">
        <v>360</v>
      </c>
      <c r="J50" s="10" t="str">
        <f>_xlfn.FILTERXML(_xlfn.WEBSERVICE("viacep.com.br/ws/"&amp;TabelaPf[[#This Row],[CEP]]&amp;"/xml/"),"//logradouro")</f>
        <v>Avenida Belvedere</v>
      </c>
      <c r="K50" s="28" t="s">
        <v>361</v>
      </c>
      <c r="L50" s="5" t="s">
        <v>362</v>
      </c>
      <c r="M50" s="10" t="str">
        <f>_xlfn.FILTERXML(_xlfn.WEBSERVICE("viacep.com.br/ws/"&amp;TabelaPf[[#This Row],[CEP]]&amp;"/xml/"),"//bairro")</f>
        <v>Condomínio Residencial Jardins de Barcelona</v>
      </c>
      <c r="N50" s="10" t="str">
        <f>_xlfn.FILTERXML(_xlfn.WEBSERVICE("viacep.com.br/ws/"&amp;TabelaPf[[#This Row],[CEP]]&amp;"/xml/"),"//localidade")</f>
        <v>São José do Rio Preto</v>
      </c>
      <c r="O50" s="10" t="str">
        <f>_xlfn.FILTERXML(_xlfn.WEBSERVICE("viacep.com.br/ws/"&amp;TabelaPf[[#This Row],[CEP]]&amp;"/xml/"),"//uf")</f>
        <v>SP</v>
      </c>
      <c r="P50" s="28" t="s">
        <v>68</v>
      </c>
      <c r="Q50" s="28"/>
      <c r="R50" s="5" t="s">
        <v>303</v>
      </c>
      <c r="S50" s="5" t="s">
        <v>53</v>
      </c>
      <c r="T50" s="5"/>
    </row>
    <row r="51" spans="1:20" x14ac:dyDescent="0.45">
      <c r="A51" s="28">
        <f t="shared" si="4"/>
        <v>50</v>
      </c>
      <c r="B51" s="14" t="s">
        <v>366</v>
      </c>
      <c r="C51" s="35" t="s">
        <v>368</v>
      </c>
      <c r="D51" s="13" t="s">
        <v>367</v>
      </c>
      <c r="E51" s="5" t="s">
        <v>0</v>
      </c>
      <c r="F51" s="5" t="s">
        <v>18</v>
      </c>
      <c r="G51" s="5" t="s">
        <v>369</v>
      </c>
      <c r="H51" s="5" t="s">
        <v>15</v>
      </c>
      <c r="I51" s="31" t="s">
        <v>373</v>
      </c>
      <c r="J51" s="10" t="s">
        <v>374</v>
      </c>
      <c r="K51" s="28" t="s">
        <v>375</v>
      </c>
      <c r="L51" s="5"/>
      <c r="M51" s="10" t="s">
        <v>376</v>
      </c>
      <c r="N51" s="10" t="str">
        <f>_xlfn.FILTERXML(_xlfn.WEBSERVICE("viacep.com.br/ws/"&amp;TabelaPf[[#This Row],[CEP]]&amp;"/xml/"),"//localidade")</f>
        <v>Guapiaçu</v>
      </c>
      <c r="O51" s="10" t="str">
        <f>_xlfn.FILTERXML(_xlfn.WEBSERVICE("viacep.com.br/ws/"&amp;TabelaPf[[#This Row],[CEP]]&amp;"/xml/"),"//uf")</f>
        <v>SP</v>
      </c>
      <c r="P51" s="28" t="s">
        <v>68</v>
      </c>
      <c r="Q51" s="28"/>
      <c r="R51" s="5" t="s">
        <v>303</v>
      </c>
      <c r="S51" s="5" t="s">
        <v>53</v>
      </c>
      <c r="T51" s="5"/>
    </row>
    <row r="52" spans="1:20" x14ac:dyDescent="0.45">
      <c r="A52" s="28">
        <f t="shared" si="4"/>
        <v>51</v>
      </c>
      <c r="B52" s="14" t="s">
        <v>370</v>
      </c>
      <c r="C52" s="35" t="s">
        <v>372</v>
      </c>
      <c r="D52" s="13" t="s">
        <v>371</v>
      </c>
      <c r="E52" s="5" t="s">
        <v>0</v>
      </c>
      <c r="F52" s="5" t="s">
        <v>18</v>
      </c>
      <c r="G52" s="5" t="s">
        <v>27</v>
      </c>
      <c r="H52" s="5" t="s">
        <v>15</v>
      </c>
      <c r="I52" s="31" t="s">
        <v>373</v>
      </c>
      <c r="J52" s="10" t="s">
        <v>374</v>
      </c>
      <c r="K52" s="28" t="s">
        <v>375</v>
      </c>
      <c r="L52" s="5"/>
      <c r="M52" s="10" t="s">
        <v>376</v>
      </c>
      <c r="N52" s="10" t="str">
        <f>_xlfn.FILTERXML(_xlfn.WEBSERVICE("viacep.com.br/ws/"&amp;TabelaPf[[#This Row],[CEP]]&amp;"/xml/"),"//localidade")</f>
        <v>Guapiaçu</v>
      </c>
      <c r="O52" s="10" t="str">
        <f>_xlfn.FILTERXML(_xlfn.WEBSERVICE("viacep.com.br/ws/"&amp;TabelaPf[[#This Row],[CEP]]&amp;"/xml/"),"//uf")</f>
        <v>SP</v>
      </c>
      <c r="P52" s="28" t="s">
        <v>68</v>
      </c>
      <c r="Q52" s="28"/>
      <c r="R52" s="5" t="s">
        <v>303</v>
      </c>
      <c r="S52" s="5" t="s">
        <v>53</v>
      </c>
      <c r="T52" s="5"/>
    </row>
    <row r="53" spans="1:20" x14ac:dyDescent="0.45">
      <c r="A53" s="28">
        <f t="shared" si="4"/>
        <v>52</v>
      </c>
      <c r="B53" s="14" t="s">
        <v>377</v>
      </c>
      <c r="C53" s="35" t="s">
        <v>378</v>
      </c>
      <c r="D53" s="13">
        <v>20848728</v>
      </c>
      <c r="E53" s="5" t="s">
        <v>0</v>
      </c>
      <c r="F53" s="5" t="s">
        <v>18</v>
      </c>
      <c r="G53" s="5" t="s">
        <v>134</v>
      </c>
      <c r="H53" s="5" t="s">
        <v>15</v>
      </c>
      <c r="I53" s="31" t="s">
        <v>379</v>
      </c>
      <c r="J53" s="10" t="str">
        <f>_xlfn.FILTERXML(_xlfn.WEBSERVICE("viacep.com.br/ws/"&amp;TabelaPf[[#This Row],[CEP]]&amp;"/xml/"),"//logradouro")</f>
        <v>Rua Diogo Garcia Sanches</v>
      </c>
      <c r="K53" s="28" t="s">
        <v>380</v>
      </c>
      <c r="L53" s="5"/>
      <c r="M53" s="10" t="str">
        <f>_xlfn.FILTERXML(_xlfn.WEBSERVICE("viacep.com.br/ws/"&amp;TabelaPf[[#This Row],[CEP]]&amp;"/xml/"),"//bairro")</f>
        <v>Recanto do Beija Flor</v>
      </c>
      <c r="N53" s="10" t="str">
        <f>_xlfn.FILTERXML(_xlfn.WEBSERVICE("viacep.com.br/ws/"&amp;TabelaPf[[#This Row],[CEP]]&amp;"/xml/"),"//localidade")</f>
        <v>Mirassol</v>
      </c>
      <c r="O53" s="10" t="str">
        <f>_xlfn.FILTERXML(_xlfn.WEBSERVICE("viacep.com.br/ws/"&amp;TabelaPf[[#This Row],[CEP]]&amp;"/xml/"),"//uf")</f>
        <v>SP</v>
      </c>
      <c r="P53" s="28" t="s">
        <v>68</v>
      </c>
      <c r="Q53" s="28"/>
      <c r="R53" s="5" t="s">
        <v>303</v>
      </c>
      <c r="S53" s="5" t="s">
        <v>53</v>
      </c>
      <c r="T53" s="5"/>
    </row>
    <row r="54" spans="1:20" x14ac:dyDescent="0.45">
      <c r="A54" s="28">
        <f t="shared" si="4"/>
        <v>53</v>
      </c>
      <c r="B54" s="14" t="s">
        <v>381</v>
      </c>
      <c r="C54" s="35" t="s">
        <v>382</v>
      </c>
      <c r="D54" s="13" t="s">
        <v>383</v>
      </c>
      <c r="E54" s="5" t="s">
        <v>0</v>
      </c>
      <c r="F54" s="5" t="s">
        <v>18</v>
      </c>
      <c r="G54" s="5" t="s">
        <v>384</v>
      </c>
      <c r="H54" s="5" t="s">
        <v>15</v>
      </c>
      <c r="I54" s="31" t="s">
        <v>379</v>
      </c>
      <c r="J54" s="10" t="str">
        <f>_xlfn.FILTERXML(_xlfn.WEBSERVICE("viacep.com.br/ws/"&amp;TabelaPf[[#This Row],[CEP]]&amp;"/xml/"),"//logradouro")</f>
        <v>Rua Diogo Garcia Sanches</v>
      </c>
      <c r="K54" s="28" t="s">
        <v>380</v>
      </c>
      <c r="L54" s="5"/>
      <c r="M54" s="10" t="str">
        <f>_xlfn.FILTERXML(_xlfn.WEBSERVICE("viacep.com.br/ws/"&amp;TabelaPf[[#This Row],[CEP]]&amp;"/xml/"),"//bairro")</f>
        <v>Recanto do Beija Flor</v>
      </c>
      <c r="N54" s="10" t="str">
        <f>_xlfn.FILTERXML(_xlfn.WEBSERVICE("viacep.com.br/ws/"&amp;TabelaPf[[#This Row],[CEP]]&amp;"/xml/"),"//localidade")</f>
        <v>Mirassol</v>
      </c>
      <c r="O54" s="10" t="str">
        <f>_xlfn.FILTERXML(_xlfn.WEBSERVICE("viacep.com.br/ws/"&amp;TabelaPf[[#This Row],[CEP]]&amp;"/xml/"),"//uf")</f>
        <v>SP</v>
      </c>
      <c r="P54" s="28" t="s">
        <v>68</v>
      </c>
      <c r="Q54" s="28"/>
      <c r="R54" s="5" t="s">
        <v>303</v>
      </c>
      <c r="S54" s="5" t="s">
        <v>53</v>
      </c>
      <c r="T54" s="5"/>
    </row>
  </sheetData>
  <dataValidations count="4">
    <dataValidation type="list" allowBlank="1" showInputMessage="1" showErrorMessage="1" sqref="F1:F1048576">
      <formula1>"solteiro(a), casado(a), separado(a) judicialmente, divorciado(a), viúvo(a)"</formula1>
    </dataValidation>
    <dataValidation type="list" allowBlank="1" showInputMessage="1" showErrorMessage="1" sqref="S1:S1048576">
      <formula1>"cliente, adverso"</formula1>
    </dataValidation>
    <dataValidation type="list" allowBlank="1" showInputMessage="1" showErrorMessage="1" sqref="R1:R1048576">
      <formula1>"BV,GFA,Gomide"</formula1>
    </dataValidation>
    <dataValidation type="list" allowBlank="1" showInputMessage="1" showErrorMessage="1" sqref="Q1:Q1048576">
      <formula1>"M,F"</formula1>
    </dataValidation>
  </dataValidations>
  <hyperlinks>
    <hyperlink ref="P5" r:id="rId1"/>
    <hyperlink ref="P13" r:id="rId2"/>
  </hyperlinks>
  <pageMargins left="0.511811024" right="0.511811024" top="0.78740157499999996" bottom="0.78740157499999996" header="0.31496062000000002" footer="0.31496062000000002"/>
  <pageSetup paperSize="9" orientation="portrait" r:id="rId3"/>
  <ignoredErrors>
    <ignoredError sqref="K2:K3" numberStoredAsText="1"/>
  </ignoredErrors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3"/>
  <sheetViews>
    <sheetView showGridLines="0" topLeftCell="A7" zoomScaleNormal="100" workbookViewId="0">
      <pane xSplit="2" topLeftCell="E1" activePane="topRight" state="frozen"/>
      <selection pane="topRight" activeCell="B3" sqref="B3"/>
    </sheetView>
  </sheetViews>
  <sheetFormatPr defaultRowHeight="14.25" x14ac:dyDescent="0.45"/>
  <cols>
    <col min="1" max="1" width="4.73046875" customWidth="1"/>
    <col min="2" max="2" width="34.3984375" style="11" bestFit="1" customWidth="1"/>
    <col min="3" max="3" width="20.59765625" style="41" customWidth="1"/>
    <col min="4" max="4" width="28" style="22" bestFit="1" customWidth="1"/>
    <col min="5" max="5" width="10.73046875" style="43" bestFit="1" customWidth="1"/>
    <col min="6" max="6" width="32.86328125" style="39" bestFit="1" customWidth="1"/>
    <col min="7" max="7" width="10.86328125" style="15" customWidth="1"/>
    <col min="8" max="8" width="11.86328125" style="15" customWidth="1"/>
    <col min="9" max="9" width="28.265625" bestFit="1" customWidth="1"/>
    <col min="10" max="10" width="22.3984375" bestFit="1" customWidth="1"/>
    <col min="11" max="11" width="8.265625" bestFit="1" customWidth="1"/>
    <col min="12" max="12" width="17.73046875" style="15" customWidth="1"/>
    <col min="13" max="13" width="10.73046875" customWidth="1"/>
    <col min="14" max="14" width="12.86328125" customWidth="1"/>
    <col min="15" max="15" width="11.59765625" bestFit="1" customWidth="1"/>
    <col min="16" max="16" width="17.265625" bestFit="1" customWidth="1"/>
    <col min="17" max="17" width="14.59765625" bestFit="1" customWidth="1"/>
    <col min="18" max="18" width="13.73046875" bestFit="1" customWidth="1"/>
    <col min="19" max="19" width="11.265625" bestFit="1" customWidth="1"/>
    <col min="20" max="20" width="17" bestFit="1" customWidth="1"/>
    <col min="21" max="21" width="18.3984375" bestFit="1" customWidth="1"/>
    <col min="22" max="22" width="18.73046875" bestFit="1" customWidth="1"/>
    <col min="23" max="23" width="13.3984375" bestFit="1" customWidth="1"/>
    <col min="24" max="24" width="20.73046875" style="1" bestFit="1" customWidth="1"/>
    <col min="25" max="31" width="20.73046875" customWidth="1"/>
    <col min="32" max="33" width="15.265625" bestFit="1" customWidth="1"/>
  </cols>
  <sheetData>
    <row r="1" spans="1:24" ht="15.75" x14ac:dyDescent="0.5">
      <c r="A1" s="2" t="s">
        <v>197</v>
      </c>
      <c r="B1" s="12" t="s">
        <v>198</v>
      </c>
      <c r="C1" s="40" t="s">
        <v>199</v>
      </c>
      <c r="D1" s="21" t="s">
        <v>200</v>
      </c>
      <c r="E1" s="66" t="s">
        <v>201</v>
      </c>
      <c r="F1" s="38" t="s">
        <v>202</v>
      </c>
      <c r="G1" s="26" t="s">
        <v>203</v>
      </c>
      <c r="H1" s="26" t="s">
        <v>204</v>
      </c>
      <c r="I1" s="3" t="s">
        <v>205</v>
      </c>
      <c r="J1" s="3" t="s">
        <v>206</v>
      </c>
      <c r="K1" s="3" t="s">
        <v>189</v>
      </c>
      <c r="L1" s="26" t="s">
        <v>207</v>
      </c>
      <c r="M1" s="3" t="s">
        <v>190</v>
      </c>
      <c r="N1" s="4" t="s">
        <v>208</v>
      </c>
      <c r="O1" s="56" t="s">
        <v>234</v>
      </c>
      <c r="X1"/>
    </row>
    <row r="2" spans="1:24" x14ac:dyDescent="0.45">
      <c r="A2" s="16">
        <v>1</v>
      </c>
      <c r="B2" s="14" t="s">
        <v>401</v>
      </c>
      <c r="C2" s="29" t="s">
        <v>97</v>
      </c>
      <c r="D2" s="20" t="s">
        <v>101</v>
      </c>
      <c r="E2" s="42" t="s">
        <v>98</v>
      </c>
      <c r="F2" s="10" t="str">
        <f>_xlfn.FILTERXML(_xlfn.WEBSERVICE("viacep.com.br/ws/"&amp;TabelaPj[[#This Row],[CEP]]&amp;"/xml/"),"//logradouro")</f>
        <v>Rua Cosmorama</v>
      </c>
      <c r="G2" s="28">
        <v>380</v>
      </c>
      <c r="H2" s="28"/>
      <c r="I2" s="10" t="str">
        <f>_xlfn.FILTERXML(_xlfn.WEBSERVICE("viacep.com.br/ws/"&amp;TabelaPj[[#This Row],[CEP]]&amp;"/xml/"),"//bairro")</f>
        <v>Vila Ideal</v>
      </c>
      <c r="J2" s="10" t="str">
        <f>_xlfn.FILTERXML(_xlfn.WEBSERVICE("viacep.com.br/ws/"&amp;TabelaPj[[#This Row],[CEP]]&amp;"/xml/"),"//localidade")</f>
        <v>São José do Rio Preto</v>
      </c>
      <c r="K2" s="10" t="str">
        <f>_xlfn.FILTERXML(_xlfn.WEBSERVICE("viacep.com.br/ws/"&amp;TabelaPj[[#This Row],[CEP]]&amp;"/xml/"),"//uf")</f>
        <v>SP</v>
      </c>
      <c r="L2" s="72" t="s">
        <v>68</v>
      </c>
      <c r="M2" s="6" t="s">
        <v>2</v>
      </c>
      <c r="N2" s="6" t="s">
        <v>1</v>
      </c>
      <c r="O2" s="55" t="s">
        <v>251</v>
      </c>
    </row>
    <row r="3" spans="1:24" s="52" customFormat="1" x14ac:dyDescent="0.45">
      <c r="A3" s="46">
        <f t="shared" ref="A3:A11" si="0">ROW(A2 )</f>
        <v>2</v>
      </c>
      <c r="B3" s="79" t="s">
        <v>402</v>
      </c>
      <c r="C3" s="47" t="s">
        <v>99</v>
      </c>
      <c r="D3" s="48" t="s">
        <v>101</v>
      </c>
      <c r="E3" s="67" t="s">
        <v>100</v>
      </c>
      <c r="F3" s="49" t="str">
        <f>_xlfn.FILTERXML(_xlfn.WEBSERVICE("viacep.com.br/ws/"&amp;TabelaPj[[#This Row],[CEP]]&amp;"/xml/"),"//logradouro")</f>
        <v>Avenida Anísio Haddad</v>
      </c>
      <c r="G3" s="50">
        <v>7346</v>
      </c>
      <c r="H3" s="69"/>
      <c r="I3" s="49" t="str">
        <f>_xlfn.FILTERXML(_xlfn.WEBSERVICE("viacep.com.br/ws/"&amp;TabelaPj[[#This Row],[CEP]]&amp;"/xml/"),"//bairro")</f>
        <v>Universitário</v>
      </c>
      <c r="J3" s="49" t="str">
        <f>_xlfn.FILTERXML(_xlfn.WEBSERVICE("viacep.com.br/ws/"&amp;TabelaPj[[#This Row],[CEP]]&amp;"/xml/"),"//localidade")</f>
        <v>São José do Rio Preto</v>
      </c>
      <c r="K3" s="49" t="str">
        <f>_xlfn.FILTERXML(_xlfn.WEBSERVICE("viacep.com.br/ws/"&amp;TabelaPj[[#This Row],[CEP]]&amp;"/xml/"),"//uf")</f>
        <v>SP</v>
      </c>
      <c r="L3" s="72" t="s">
        <v>68</v>
      </c>
      <c r="M3" s="51" t="s">
        <v>2</v>
      </c>
      <c r="N3" s="51" t="s">
        <v>1</v>
      </c>
      <c r="O3" s="54" t="s">
        <v>251</v>
      </c>
      <c r="X3" s="53"/>
    </row>
    <row r="4" spans="1:24" x14ac:dyDescent="0.45">
      <c r="A4" s="16">
        <f t="shared" si="0"/>
        <v>3</v>
      </c>
      <c r="B4" s="14" t="s">
        <v>403</v>
      </c>
      <c r="C4" s="29" t="s">
        <v>109</v>
      </c>
      <c r="D4" s="20" t="s">
        <v>101</v>
      </c>
      <c r="E4" s="42" t="s">
        <v>110</v>
      </c>
      <c r="F4" s="10" t="str">
        <f>_xlfn.FILTERXML(_xlfn.WEBSERVICE("viacep.com.br/ws/"&amp;TabelaPj[[#This Row],[CEP]]&amp;"/xml/"),"//logradouro")</f>
        <v>Rua Emília Joaquina de Jesus Castro</v>
      </c>
      <c r="G4" s="28">
        <v>456</v>
      </c>
      <c r="H4" s="28"/>
      <c r="I4" s="10" t="str">
        <f>_xlfn.FILTERXML(_xlfn.WEBSERVICE("viacep.com.br/ws/"&amp;TabelaPj[[#This Row],[CEP]]&amp;"/xml/"),"//bairro")</f>
        <v>Cidade Nova</v>
      </c>
      <c r="J4" s="10" t="str">
        <f>_xlfn.FILTERXML(_xlfn.WEBSERVICE("viacep.com.br/ws/"&amp;TabelaPj[[#This Row],[CEP]]&amp;"/xml/"),"//localidade")</f>
        <v>São José do Rio Preto</v>
      </c>
      <c r="K4" s="10" t="str">
        <f>_xlfn.FILTERXML(_xlfn.WEBSERVICE("viacep.com.br/ws/"&amp;TabelaPj[[#This Row],[CEP]]&amp;"/xml/"),"//uf")</f>
        <v>SP</v>
      </c>
      <c r="L4" s="72" t="s">
        <v>68</v>
      </c>
      <c r="M4" s="6" t="s">
        <v>2</v>
      </c>
      <c r="N4" s="6" t="s">
        <v>1</v>
      </c>
      <c r="O4" s="55" t="s">
        <v>251</v>
      </c>
    </row>
    <row r="5" spans="1:24" x14ac:dyDescent="0.45">
      <c r="A5" s="16">
        <f t="shared" si="0"/>
        <v>4</v>
      </c>
      <c r="B5" s="14" t="s">
        <v>404</v>
      </c>
      <c r="C5" s="29" t="s">
        <v>56</v>
      </c>
      <c r="D5" s="20" t="s">
        <v>129</v>
      </c>
      <c r="E5" s="42" t="s">
        <v>57</v>
      </c>
      <c r="F5" s="10" t="str">
        <f>_xlfn.FILTERXML(_xlfn.WEBSERVICE("viacep.com.br/ws/"&amp;TabelaPj[[#This Row],[CEP]]&amp;"/xml/"),"//logradouro")</f>
        <v>Rua Boa Vista</v>
      </c>
      <c r="G5" s="28">
        <v>349</v>
      </c>
      <c r="H5" s="28"/>
      <c r="I5" s="10" t="str">
        <f>_xlfn.FILTERXML(_xlfn.WEBSERVICE("viacep.com.br/ws/"&amp;TabelaPj[[#This Row],[CEP]]&amp;"/xml/"),"//bairro")</f>
        <v>Boa Vista</v>
      </c>
      <c r="J5" s="10" t="str">
        <f>_xlfn.FILTERXML(_xlfn.WEBSERVICE("viacep.com.br/ws/"&amp;TabelaPj[[#This Row],[CEP]]&amp;"/xml/"),"//localidade")</f>
        <v>São José do Rio Preto</v>
      </c>
      <c r="K5" s="10" t="str">
        <f>_xlfn.FILTERXML(_xlfn.WEBSERVICE("viacep.com.br/ws/"&amp;TabelaPj[[#This Row],[CEP]]&amp;"/xml/"),"//uf")</f>
        <v>SP</v>
      </c>
      <c r="L5" s="72" t="s">
        <v>68</v>
      </c>
      <c r="M5" s="6" t="s">
        <v>2</v>
      </c>
      <c r="N5" s="6" t="s">
        <v>1</v>
      </c>
      <c r="O5" s="55" t="s">
        <v>251</v>
      </c>
    </row>
    <row r="6" spans="1:24" x14ac:dyDescent="0.45">
      <c r="A6" s="16">
        <f t="shared" si="0"/>
        <v>5</v>
      </c>
      <c r="B6" s="14" t="s">
        <v>405</v>
      </c>
      <c r="C6" s="29" t="s">
        <v>111</v>
      </c>
      <c r="D6" s="20" t="s">
        <v>101</v>
      </c>
      <c r="E6" s="42" t="s">
        <v>112</v>
      </c>
      <c r="F6" s="10" t="str">
        <f>_xlfn.FILTERXML(_xlfn.WEBSERVICE("viacep.com.br/ws/"&amp;TabelaPj[[#This Row],[CEP]]&amp;"/xml/"),"//logradouro")</f>
        <v>Rua Marcolino Barreto</v>
      </c>
      <c r="G6" s="28">
        <v>975</v>
      </c>
      <c r="H6" s="28"/>
      <c r="I6" s="10" t="str">
        <f>_xlfn.FILTERXML(_xlfn.WEBSERVICE("viacep.com.br/ws/"&amp;TabelaPj[[#This Row],[CEP]]&amp;"/xml/"),"//bairro")</f>
        <v>Vila Angélica</v>
      </c>
      <c r="J6" s="10" t="str">
        <f>_xlfn.FILTERXML(_xlfn.WEBSERVICE("viacep.com.br/ws/"&amp;TabelaPj[[#This Row],[CEP]]&amp;"/xml/"),"//localidade")</f>
        <v>São José do Rio Preto</v>
      </c>
      <c r="K6" s="10" t="str">
        <f>_xlfn.FILTERXML(_xlfn.WEBSERVICE("viacep.com.br/ws/"&amp;TabelaPj[[#This Row],[CEP]]&amp;"/xml/"),"//uf")</f>
        <v>SP</v>
      </c>
      <c r="L6" s="72" t="s">
        <v>68</v>
      </c>
      <c r="M6" s="6" t="s">
        <v>2</v>
      </c>
      <c r="N6" s="6" t="s">
        <v>1</v>
      </c>
      <c r="O6" s="55" t="s">
        <v>251</v>
      </c>
    </row>
    <row r="7" spans="1:24" x14ac:dyDescent="0.45">
      <c r="A7" s="16">
        <f t="shared" si="0"/>
        <v>6</v>
      </c>
      <c r="B7" s="14" t="s">
        <v>406</v>
      </c>
      <c r="C7" s="29" t="s">
        <v>113</v>
      </c>
      <c r="D7" s="20" t="s">
        <v>101</v>
      </c>
      <c r="E7" s="42" t="s">
        <v>114</v>
      </c>
      <c r="F7" s="10" t="str">
        <f>_xlfn.FILTERXML(_xlfn.WEBSERVICE("viacep.com.br/ws/"&amp;TabelaPj[[#This Row],[CEP]]&amp;"/xml/"),"//logradouro")</f>
        <v>Avenida Comendador Mançor Daud</v>
      </c>
      <c r="G7" s="28">
        <v>520</v>
      </c>
      <c r="H7" s="28"/>
      <c r="I7" s="10" t="str">
        <f>_xlfn.FILTERXML(_xlfn.WEBSERVICE("viacep.com.br/ws/"&amp;TabelaPj[[#This Row],[CEP]]&amp;"/xml/"),"//bairro")</f>
        <v>Jardim Santa Luzia</v>
      </c>
      <c r="J7" s="10" t="str">
        <f>_xlfn.FILTERXML(_xlfn.WEBSERVICE("viacep.com.br/ws/"&amp;TabelaPj[[#This Row],[CEP]]&amp;"/xml/"),"//localidade")</f>
        <v>São José do Rio Preto</v>
      </c>
      <c r="K7" s="10" t="str">
        <f>_xlfn.FILTERXML(_xlfn.WEBSERVICE("viacep.com.br/ws/"&amp;TabelaPj[[#This Row],[CEP]]&amp;"/xml/"),"//uf")</f>
        <v>SP</v>
      </c>
      <c r="L7" s="72" t="s">
        <v>68</v>
      </c>
      <c r="M7" s="6" t="s">
        <v>2</v>
      </c>
      <c r="N7" s="6" t="s">
        <v>1</v>
      </c>
      <c r="O7" s="55" t="s">
        <v>251</v>
      </c>
    </row>
    <row r="8" spans="1:24" x14ac:dyDescent="0.45">
      <c r="A8" s="16">
        <f t="shared" si="0"/>
        <v>7</v>
      </c>
      <c r="B8" s="14" t="s">
        <v>407</v>
      </c>
      <c r="C8" s="29" t="s">
        <v>115</v>
      </c>
      <c r="D8" s="20" t="s">
        <v>101</v>
      </c>
      <c r="E8" s="42" t="s">
        <v>116</v>
      </c>
      <c r="F8" s="10" t="str">
        <f>_xlfn.FILTERXML(_xlfn.WEBSERVICE("viacep.com.br/ws/"&amp;TabelaPj[[#This Row],[CEP]]&amp;"/xml/"),"//logradouro")</f>
        <v>Rua João Romualdo de Freitas</v>
      </c>
      <c r="G8" s="28">
        <v>450</v>
      </c>
      <c r="H8" s="28"/>
      <c r="I8" s="10" t="str">
        <f>_xlfn.FILTERXML(_xlfn.WEBSERVICE("viacep.com.br/ws/"&amp;TabelaPj[[#This Row],[CEP]]&amp;"/xml/"),"//bairro")</f>
        <v>Jardim Moysés Miguel Haddad</v>
      </c>
      <c r="J8" s="10" t="str">
        <f>_xlfn.FILTERXML(_xlfn.WEBSERVICE("viacep.com.br/ws/"&amp;TabelaPj[[#This Row],[CEP]]&amp;"/xml/"),"//localidade")</f>
        <v>São José do Rio Preto</v>
      </c>
      <c r="K8" s="10" t="str">
        <f>_xlfn.FILTERXML(_xlfn.WEBSERVICE("viacep.com.br/ws/"&amp;TabelaPj[[#This Row],[CEP]]&amp;"/xml/"),"//uf")</f>
        <v>SP</v>
      </c>
      <c r="L8" s="72" t="s">
        <v>68</v>
      </c>
      <c r="M8" s="6" t="s">
        <v>2</v>
      </c>
      <c r="N8" s="6" t="s">
        <v>1</v>
      </c>
      <c r="O8" s="55" t="s">
        <v>251</v>
      </c>
    </row>
    <row r="9" spans="1:24" x14ac:dyDescent="0.45">
      <c r="A9" s="16">
        <f t="shared" si="0"/>
        <v>8</v>
      </c>
      <c r="B9" s="14" t="s">
        <v>274</v>
      </c>
      <c r="C9" s="29" t="s">
        <v>117</v>
      </c>
      <c r="D9" s="23" t="s">
        <v>130</v>
      </c>
      <c r="E9" s="42" t="s">
        <v>118</v>
      </c>
      <c r="F9" s="10" t="str">
        <f>_xlfn.FILTERXML(_xlfn.WEBSERVICE("viacep.com.br/ws/"&amp;TabelaPj[[#This Row],[CEP]]&amp;"/xml/"),"//logradouro")</f>
        <v>Rua da Primavera</v>
      </c>
      <c r="G9" s="28">
        <v>450</v>
      </c>
      <c r="H9" s="28"/>
      <c r="I9" s="10" t="str">
        <f>_xlfn.FILTERXML(_xlfn.WEBSERVICE("viacep.com.br/ws/"&amp;TabelaPj[[#This Row],[CEP]]&amp;"/xml/"),"//bairro")</f>
        <v>Jardim Santa Catarina</v>
      </c>
      <c r="J9" s="10" t="str">
        <f>_xlfn.FILTERXML(_xlfn.WEBSERVICE("viacep.com.br/ws/"&amp;TabelaPj[[#This Row],[CEP]]&amp;"/xml/"),"//localidade")</f>
        <v>São José do Rio Preto</v>
      </c>
      <c r="K9" s="10" t="str">
        <f>_xlfn.FILTERXML(_xlfn.WEBSERVICE("viacep.com.br/ws/"&amp;TabelaPj[[#This Row],[CEP]]&amp;"/xml/"),"//uf")</f>
        <v>SP</v>
      </c>
      <c r="L9" s="72" t="s">
        <v>68</v>
      </c>
      <c r="M9" s="6" t="s">
        <v>2</v>
      </c>
      <c r="N9" s="6" t="s">
        <v>1</v>
      </c>
      <c r="O9" s="55" t="s">
        <v>251</v>
      </c>
    </row>
    <row r="10" spans="1:24" x14ac:dyDescent="0.45">
      <c r="A10" s="16">
        <f t="shared" si="0"/>
        <v>9</v>
      </c>
      <c r="B10" s="14" t="s">
        <v>388</v>
      </c>
      <c r="C10" s="29" t="s">
        <v>119</v>
      </c>
      <c r="D10" s="23" t="s">
        <v>101</v>
      </c>
      <c r="E10" s="42" t="s">
        <v>120</v>
      </c>
      <c r="F10" s="10" t="str">
        <f>_xlfn.FILTERXML(_xlfn.WEBSERVICE("viacep.com.br/ws/"&amp;TabelaPj[[#This Row],[CEP]]&amp;"/xml/"),"//logradouro")</f>
        <v>Rua Iriritiba</v>
      </c>
      <c r="G10" s="28">
        <v>1200</v>
      </c>
      <c r="H10" s="28"/>
      <c r="I10" s="10" t="str">
        <f>_xlfn.FILTERXML(_xlfn.WEBSERVICE("viacep.com.br/ws/"&amp;TabelaPj[[#This Row],[CEP]]&amp;"/xml/"),"//bairro")</f>
        <v>Jardim Caparroz</v>
      </c>
      <c r="J10" s="10" t="str">
        <f>_xlfn.FILTERXML(_xlfn.WEBSERVICE("viacep.com.br/ws/"&amp;TabelaPj[[#This Row],[CEP]]&amp;"/xml/"),"//localidade")</f>
        <v>São José do Rio Preto</v>
      </c>
      <c r="K10" s="10" t="str">
        <f>_xlfn.FILTERXML(_xlfn.WEBSERVICE("viacep.com.br/ws/"&amp;TabelaPj[[#This Row],[CEP]]&amp;"/xml/"),"//uf")</f>
        <v>SP</v>
      </c>
      <c r="L10" s="72" t="s">
        <v>68</v>
      </c>
      <c r="M10" s="6" t="s">
        <v>2</v>
      </c>
      <c r="N10" s="6" t="s">
        <v>1</v>
      </c>
      <c r="O10" s="55" t="s">
        <v>251</v>
      </c>
    </row>
    <row r="11" spans="1:24" x14ac:dyDescent="0.45">
      <c r="A11" s="16">
        <f t="shared" si="0"/>
        <v>10</v>
      </c>
      <c r="B11" s="14" t="s">
        <v>408</v>
      </c>
      <c r="C11" s="29" t="s">
        <v>121</v>
      </c>
      <c r="D11" s="23" t="s">
        <v>131</v>
      </c>
      <c r="E11" s="42" t="s">
        <v>122</v>
      </c>
      <c r="F11" s="10" t="str">
        <f>_xlfn.FILTERXML(_xlfn.WEBSERVICE("viacep.com.br/ws/"&amp;TabelaPj[[#This Row],[CEP]]&amp;"/xml/"),"//logradouro")</f>
        <v>Rua José Polachini Sobrinho</v>
      </c>
      <c r="G11" s="28">
        <v>480</v>
      </c>
      <c r="H11" s="28"/>
      <c r="I11" s="10" t="str">
        <f>_xlfn.FILTERXML(_xlfn.WEBSERVICE("viacep.com.br/ws/"&amp;TabelaPj[[#This Row],[CEP]]&amp;"/xml/"),"//bairro")</f>
        <v>Jardim Urano</v>
      </c>
      <c r="J11" s="10" t="str">
        <f>_xlfn.FILTERXML(_xlfn.WEBSERVICE("viacep.com.br/ws/"&amp;TabelaPj[[#This Row],[CEP]]&amp;"/xml/"),"//localidade")</f>
        <v>São José do Rio Preto</v>
      </c>
      <c r="K11" s="10" t="str">
        <f>_xlfn.FILTERXML(_xlfn.WEBSERVICE("viacep.com.br/ws/"&amp;TabelaPj[[#This Row],[CEP]]&amp;"/xml/"),"//uf")</f>
        <v>SP</v>
      </c>
      <c r="L11" s="72" t="s">
        <v>68</v>
      </c>
      <c r="M11" s="6" t="s">
        <v>2</v>
      </c>
      <c r="N11" s="6" t="s">
        <v>1</v>
      </c>
      <c r="O11" s="55" t="s">
        <v>251</v>
      </c>
    </row>
    <row r="12" spans="1:24" x14ac:dyDescent="0.45">
      <c r="A12" s="25">
        <f t="shared" ref="A12:A17" si="1">ROW(A11 )</f>
        <v>11</v>
      </c>
      <c r="B12" s="14" t="s">
        <v>409</v>
      </c>
      <c r="C12" s="29" t="s">
        <v>160</v>
      </c>
      <c r="D12" s="20" t="s">
        <v>163</v>
      </c>
      <c r="E12" s="42" t="s">
        <v>161</v>
      </c>
      <c r="F12" s="10" t="str">
        <f>_xlfn.FILTERXML(_xlfn.WEBSERVICE("viacep.com.br/ws/"&amp;TabelaPj[[#This Row],[CEP]]&amp;"/xml/"),"//logradouro")</f>
        <v>Avenida Tanabi</v>
      </c>
      <c r="G12" s="28" t="s">
        <v>162</v>
      </c>
      <c r="H12" s="28"/>
      <c r="I12" s="10" t="str">
        <f>_xlfn.FILTERXML(_xlfn.WEBSERVICE("viacep.com.br/ws/"&amp;TabelaPj[[#This Row],[CEP]]&amp;"/xml/"),"//bairro")</f>
        <v>Jardim Residencial Vetorasso</v>
      </c>
      <c r="J12" s="10" t="str">
        <f>_xlfn.FILTERXML(_xlfn.WEBSERVICE("viacep.com.br/ws/"&amp;TabelaPj[[#This Row],[CEP]]&amp;"/xml/"),"//localidade")</f>
        <v>São José do Rio Preto</v>
      </c>
      <c r="K12" s="10" t="str">
        <f>_xlfn.FILTERXML(_xlfn.WEBSERVICE("viacep.com.br/ws/"&amp;TabelaPj[[#This Row],[CEP]]&amp;"/xml/"),"//uf")</f>
        <v>SP</v>
      </c>
      <c r="L12" s="72" t="s">
        <v>68</v>
      </c>
      <c r="M12" s="6" t="s">
        <v>2</v>
      </c>
      <c r="N12" s="6" t="s">
        <v>1</v>
      </c>
      <c r="O12" s="55" t="s">
        <v>251</v>
      </c>
    </row>
    <row r="13" spans="1:24" x14ac:dyDescent="0.45">
      <c r="A13" s="25">
        <f t="shared" si="1"/>
        <v>12</v>
      </c>
      <c r="B13" s="14" t="s">
        <v>410</v>
      </c>
      <c r="C13" s="29" t="s">
        <v>164</v>
      </c>
      <c r="D13" s="20" t="s">
        <v>101</v>
      </c>
      <c r="E13" s="42" t="s">
        <v>165</v>
      </c>
      <c r="F13" s="10" t="str">
        <f>_xlfn.FILTERXML(_xlfn.WEBSERVICE("viacep.com.br/ws/"&amp;TabelaPj[[#This Row],[CEP]]&amp;"/xml/"),"//logradouro")</f>
        <v>Rua Waldemar Sanches</v>
      </c>
      <c r="G13" s="28" t="s">
        <v>166</v>
      </c>
      <c r="H13" s="28"/>
      <c r="I13" s="10" t="str">
        <f>_xlfn.FILTERXML(_xlfn.WEBSERVICE("viacep.com.br/ws/"&amp;TabelaPj[[#This Row],[CEP]]&amp;"/xml/"),"//bairro")</f>
        <v>Cidade Nova</v>
      </c>
      <c r="J13" s="10" t="str">
        <f>_xlfn.FILTERXML(_xlfn.WEBSERVICE("viacep.com.br/ws/"&amp;TabelaPj[[#This Row],[CEP]]&amp;"/xml/"),"//localidade")</f>
        <v>São José do Rio Preto</v>
      </c>
      <c r="K13" s="10" t="str">
        <f>_xlfn.FILTERXML(_xlfn.WEBSERVICE("viacep.com.br/ws/"&amp;TabelaPj[[#This Row],[CEP]]&amp;"/xml/"),"//uf")</f>
        <v>SP</v>
      </c>
      <c r="L13" s="72" t="s">
        <v>68</v>
      </c>
      <c r="M13" s="6" t="s">
        <v>2</v>
      </c>
      <c r="N13" s="6" t="s">
        <v>1</v>
      </c>
      <c r="O13" s="55" t="s">
        <v>251</v>
      </c>
    </row>
    <row r="14" spans="1:24" x14ac:dyDescent="0.45">
      <c r="A14" s="25">
        <f t="shared" si="1"/>
        <v>13</v>
      </c>
      <c r="B14" s="14" t="s">
        <v>411</v>
      </c>
      <c r="C14" s="29" t="s">
        <v>167</v>
      </c>
      <c r="D14" s="20" t="str">
        <f>PROPER("DANIEL PERES MIRAS")</f>
        <v>Daniel Peres Miras</v>
      </c>
      <c r="E14" s="42" t="s">
        <v>168</v>
      </c>
      <c r="F14" s="10" t="str">
        <f>_xlfn.FILTERXML(_xlfn.WEBSERVICE("viacep.com.br/ws/"&amp;TabelaPj[[#This Row],[CEP]]&amp;"/xml/"),"//logradouro")</f>
        <v>Rua Alberto Sufredini Bertoni</v>
      </c>
      <c r="G14" s="28" t="s">
        <v>169</v>
      </c>
      <c r="H14" s="28"/>
      <c r="I14" s="10" t="str">
        <f>_xlfn.FILTERXML(_xlfn.WEBSERVICE("viacep.com.br/ws/"&amp;TabelaPj[[#This Row],[CEP]]&amp;"/xml/"),"//bairro")</f>
        <v>Vila Maceno</v>
      </c>
      <c r="J14" s="10" t="str">
        <f>_xlfn.FILTERXML(_xlfn.WEBSERVICE("viacep.com.br/ws/"&amp;TabelaPj[[#This Row],[CEP]]&amp;"/xml/"),"//localidade")</f>
        <v>São José do Rio Preto</v>
      </c>
      <c r="K14" s="10" t="str">
        <f>_xlfn.FILTERXML(_xlfn.WEBSERVICE("viacep.com.br/ws/"&amp;TabelaPj[[#This Row],[CEP]]&amp;"/xml/"),"//uf")</f>
        <v>SP</v>
      </c>
      <c r="L14" s="72" t="s">
        <v>68</v>
      </c>
      <c r="M14" s="6" t="s">
        <v>2</v>
      </c>
      <c r="N14" s="6" t="s">
        <v>1</v>
      </c>
      <c r="O14" s="55" t="s">
        <v>251</v>
      </c>
    </row>
    <row r="15" spans="1:24" x14ac:dyDescent="0.45">
      <c r="A15" s="25">
        <f t="shared" si="1"/>
        <v>14</v>
      </c>
      <c r="B15" s="14" t="s">
        <v>412</v>
      </c>
      <c r="C15" s="29" t="s">
        <v>235</v>
      </c>
      <c r="D15" s="20" t="s">
        <v>101</v>
      </c>
      <c r="E15" s="42" t="s">
        <v>236</v>
      </c>
      <c r="F15" s="10" t="str">
        <f>_xlfn.FILTERXML(_xlfn.WEBSERVICE("viacep.com.br/ws/"&amp;TabelaPj[[#This Row],[CEP]]&amp;"/xml/"),"//logradouro")</f>
        <v>Rua Gualter de Carvalho</v>
      </c>
      <c r="G15" s="28" t="s">
        <v>237</v>
      </c>
      <c r="H15" s="28"/>
      <c r="I15" s="10" t="str">
        <f>_xlfn.FILTERXML(_xlfn.WEBSERVICE("viacep.com.br/ws/"&amp;TabelaPj[[#This Row],[CEP]]&amp;"/xml/"),"//bairro")</f>
        <v>Jardim Santa Lúcia</v>
      </c>
      <c r="J15" s="10" t="str">
        <f>_xlfn.FILTERXML(_xlfn.WEBSERVICE("viacep.com.br/ws/"&amp;TabelaPj[[#This Row],[CEP]]&amp;"/xml/"),"//localidade")</f>
        <v>São José do Rio Preto</v>
      </c>
      <c r="K15" s="10" t="str">
        <f>_xlfn.FILTERXML(_xlfn.WEBSERVICE("viacep.com.br/ws/"&amp;TabelaPj[[#This Row],[CEP]]&amp;"/xml/"),"//uf")</f>
        <v>SP</v>
      </c>
      <c r="L15" s="72" t="s">
        <v>68</v>
      </c>
      <c r="M15" s="6" t="s">
        <v>2</v>
      </c>
      <c r="N15" s="6" t="s">
        <v>1</v>
      </c>
      <c r="O15" s="6" t="s">
        <v>251</v>
      </c>
    </row>
    <row r="16" spans="1:24" x14ac:dyDescent="0.45">
      <c r="A16" s="25">
        <f t="shared" si="1"/>
        <v>15</v>
      </c>
      <c r="B16" s="14" t="s">
        <v>413</v>
      </c>
      <c r="C16" s="29" t="s">
        <v>238</v>
      </c>
      <c r="D16" s="23" t="s">
        <v>101</v>
      </c>
      <c r="E16" s="42" t="s">
        <v>239</v>
      </c>
      <c r="F16" s="10" t="str">
        <f>_xlfn.FILTERXML(_xlfn.WEBSERVICE("viacep.com.br/ws/"&amp;TabelaPj[[#This Row],[CEP]]&amp;"/xml/"),"//logradouro")</f>
        <v>Rua Doutor Vital Brasil</v>
      </c>
      <c r="G16" s="28" t="s">
        <v>240</v>
      </c>
      <c r="H16" s="28"/>
      <c r="I16" s="10" t="str">
        <f>_xlfn.FILTERXML(_xlfn.WEBSERVICE("viacep.com.br/ws/"&amp;TabelaPj[[#This Row],[CEP]]&amp;"/xml/"),"//bairro")</f>
        <v>Vila Cristina</v>
      </c>
      <c r="J16" s="10" t="str">
        <f>_xlfn.FILTERXML(_xlfn.WEBSERVICE("viacep.com.br/ws/"&amp;TabelaPj[[#This Row],[CEP]]&amp;"/xml/"),"//localidade")</f>
        <v>São José do Rio Preto</v>
      </c>
      <c r="K16" s="10" t="str">
        <f>_xlfn.FILTERXML(_xlfn.WEBSERVICE("viacep.com.br/ws/"&amp;TabelaPj[[#This Row],[CEP]]&amp;"/xml/"),"//uf")</f>
        <v>SP</v>
      </c>
      <c r="L16" s="72" t="s">
        <v>68</v>
      </c>
      <c r="M16" s="6" t="s">
        <v>2</v>
      </c>
      <c r="N16" s="6" t="s">
        <v>1</v>
      </c>
      <c r="O16" s="6" t="s">
        <v>251</v>
      </c>
    </row>
    <row r="17" spans="1:15" x14ac:dyDescent="0.45">
      <c r="A17" s="25">
        <f t="shared" si="1"/>
        <v>16</v>
      </c>
      <c r="B17" s="14" t="s">
        <v>414</v>
      </c>
      <c r="C17" s="29" t="s">
        <v>241</v>
      </c>
      <c r="D17" s="23" t="s">
        <v>101</v>
      </c>
      <c r="E17" s="42" t="s">
        <v>252</v>
      </c>
      <c r="F17" s="10" t="str">
        <f>_xlfn.FILTERXML(_xlfn.WEBSERVICE("viacep.com.br/ws/"&amp;TabelaPj[[#This Row],[CEP]]&amp;"/xml/"),"//logradouro")</f>
        <v>Rua José Agrelli</v>
      </c>
      <c r="G17" s="28" t="s">
        <v>242</v>
      </c>
      <c r="H17" s="28"/>
      <c r="I17" s="10" t="str">
        <f>_xlfn.FILTERXML(_xlfn.WEBSERVICE("viacep.com.br/ws/"&amp;TabelaPj[[#This Row],[CEP]]&amp;"/xml/"),"//bairro")</f>
        <v>Jardim Panorama</v>
      </c>
      <c r="J17" s="10" t="str">
        <f>_xlfn.FILTERXML(_xlfn.WEBSERVICE("viacep.com.br/ws/"&amp;TabelaPj[[#This Row],[CEP]]&amp;"/xml/"),"//localidade")</f>
        <v>São José do Rio Preto</v>
      </c>
      <c r="K17" s="10" t="str">
        <f>_xlfn.FILTERXML(_xlfn.WEBSERVICE("viacep.com.br/ws/"&amp;TabelaPj[[#This Row],[CEP]]&amp;"/xml/"),"//uf")</f>
        <v>SP</v>
      </c>
      <c r="L17" s="72" t="s">
        <v>68</v>
      </c>
      <c r="M17" s="6" t="s">
        <v>2</v>
      </c>
      <c r="N17" s="6" t="s">
        <v>1</v>
      </c>
      <c r="O17" s="6" t="s">
        <v>251</v>
      </c>
    </row>
    <row r="18" spans="1:15" x14ac:dyDescent="0.45">
      <c r="A18" s="25">
        <f t="shared" ref="A18:A19" si="2">ROW(A17 )</f>
        <v>17</v>
      </c>
      <c r="B18" s="14" t="s">
        <v>89</v>
      </c>
      <c r="C18" s="29" t="s">
        <v>90</v>
      </c>
      <c r="D18" s="20" t="s">
        <v>91</v>
      </c>
      <c r="E18" s="68" t="s">
        <v>92</v>
      </c>
      <c r="F18" s="10" t="str">
        <f>_xlfn.FILTERXML(_xlfn.WEBSERVICE("viacep.com.br/ws/"&amp;TabelaPj[[#This Row],[CEP]]&amp;"/xml/"),"//logradouro")</f>
        <v>Rua Egildo Vescio</v>
      </c>
      <c r="G18" s="28">
        <v>170</v>
      </c>
      <c r="H18" s="28"/>
      <c r="I18" s="10" t="str">
        <f>_xlfn.FILTERXML(_xlfn.WEBSERVICE("viacep.com.br/ws/"&amp;TabelaPj[[#This Row],[CEP]]&amp;"/xml/"),"//bairro")</f>
        <v>Jardim Nazareth</v>
      </c>
      <c r="J18" s="10" t="str">
        <f>_xlfn.FILTERXML(_xlfn.WEBSERVICE("viacep.com.br/ws/"&amp;TabelaPj[[#This Row],[CEP]]&amp;"/xml/"),"//localidade")</f>
        <v>São José do Rio Preto</v>
      </c>
      <c r="K18" s="10" t="str">
        <f>_xlfn.FILTERXML(_xlfn.WEBSERVICE("viacep.com.br/ws/"&amp;TabelaPj[[#This Row],[CEP]]&amp;"/xml/"),"//uf")</f>
        <v>SP</v>
      </c>
      <c r="L18" s="72" t="s">
        <v>68</v>
      </c>
      <c r="M18" s="6" t="s">
        <v>3</v>
      </c>
      <c r="N18" s="6" t="s">
        <v>1</v>
      </c>
      <c r="O18" s="6"/>
    </row>
    <row r="19" spans="1:15" x14ac:dyDescent="0.45">
      <c r="A19" s="61">
        <f t="shared" si="2"/>
        <v>18</v>
      </c>
      <c r="B19" s="14" t="s">
        <v>415</v>
      </c>
      <c r="C19" s="29" t="s">
        <v>225</v>
      </c>
      <c r="D19" s="20" t="s">
        <v>229</v>
      </c>
      <c r="E19" s="42" t="s">
        <v>226</v>
      </c>
      <c r="F19" s="10" t="str">
        <f>_xlfn.FILTERXML(_xlfn.WEBSERVICE("viacep.com.br/ws/"&amp;TabelaPj[[#This Row],[CEP]]&amp;"/xml/"),"//logradouro")</f>
        <v>Rua Jorge Ismael</v>
      </c>
      <c r="G19" s="28" t="s">
        <v>227</v>
      </c>
      <c r="H19" s="28" t="s">
        <v>228</v>
      </c>
      <c r="I19" s="62" t="str">
        <f>_xlfn.FILTERXML(_xlfn.WEBSERVICE("viacep.com.br/ws/"&amp;TabelaPj[[#This Row],[CEP]]&amp;"/xml/"),"//bairro")</f>
        <v>Residencial Eco Village I</v>
      </c>
      <c r="J19" s="62" t="str">
        <f>_xlfn.FILTERXML(_xlfn.WEBSERVICE("viacep.com.br/ws/"&amp;TabelaPj[[#This Row],[CEP]]&amp;"/xml/"),"//localidade")</f>
        <v>São José do Rio Preto</v>
      </c>
      <c r="K19" s="62" t="str">
        <f>_xlfn.FILTERXML(_xlfn.WEBSERVICE("viacep.com.br/ws/"&amp;TabelaPj[[#This Row],[CEP]]&amp;"/xml/"),"//uf")</f>
        <v>SP</v>
      </c>
      <c r="L19" s="72" t="s">
        <v>68</v>
      </c>
      <c r="M19" s="55" t="s">
        <v>3</v>
      </c>
      <c r="N19" s="55" t="s">
        <v>53</v>
      </c>
      <c r="O19" s="55"/>
    </row>
    <row r="20" spans="1:15" x14ac:dyDescent="0.45">
      <c r="A20" s="25">
        <f>ROW(A19 )</f>
        <v>19</v>
      </c>
      <c r="B20" s="14" t="s">
        <v>260</v>
      </c>
      <c r="C20" s="29" t="s">
        <v>257</v>
      </c>
      <c r="D20" s="20" t="s">
        <v>261</v>
      </c>
      <c r="E20" s="42" t="s">
        <v>258</v>
      </c>
      <c r="F20" s="10" t="str">
        <f>_xlfn.FILTERXML(_xlfn.WEBSERVICE("viacep.com.br/ws/"&amp;TabelaPj[[#This Row],[CEP]]&amp;"/xml/"),"//logradouro")</f>
        <v>Avenida Doutor Alberto Andaló</v>
      </c>
      <c r="G20" s="28" t="s">
        <v>259</v>
      </c>
      <c r="H20" s="28"/>
      <c r="I20" s="10" t="str">
        <f>_xlfn.FILTERXML(_xlfn.WEBSERVICE("viacep.com.br/ws/"&amp;TabelaPj[[#This Row],[CEP]]&amp;"/xml/"),"//bairro")</f>
        <v>Centro</v>
      </c>
      <c r="J20" s="10" t="str">
        <f>_xlfn.FILTERXML(_xlfn.WEBSERVICE("viacep.com.br/ws/"&amp;TabelaPj[[#This Row],[CEP]]&amp;"/xml/"),"//localidade")</f>
        <v>São José do Rio Preto</v>
      </c>
      <c r="K20" s="10" t="str">
        <f>_xlfn.FILTERXML(_xlfn.WEBSERVICE("viacep.com.br/ws/"&amp;TabelaPj[[#This Row],[CEP]]&amp;"/xml/"),"//uf")</f>
        <v>SP</v>
      </c>
      <c r="L20" s="72" t="s">
        <v>68</v>
      </c>
      <c r="M20" s="6" t="s">
        <v>2</v>
      </c>
      <c r="N20" s="6" t="s">
        <v>1</v>
      </c>
      <c r="O20" s="6" t="s">
        <v>251</v>
      </c>
    </row>
    <row r="21" spans="1:15" x14ac:dyDescent="0.45">
      <c r="A21" s="25">
        <f>ROW(A20 )</f>
        <v>20</v>
      </c>
      <c r="B21" s="14" t="s">
        <v>304</v>
      </c>
      <c r="C21" s="29" t="s">
        <v>305</v>
      </c>
      <c r="D21" s="20" t="s">
        <v>306</v>
      </c>
      <c r="E21" s="42" t="s">
        <v>307</v>
      </c>
      <c r="F21" s="10" t="s">
        <v>308</v>
      </c>
      <c r="G21" s="28" t="s">
        <v>309</v>
      </c>
      <c r="H21" s="28"/>
      <c r="I21" s="10" t="s">
        <v>310</v>
      </c>
      <c r="J21" s="10" t="str">
        <f>_xlfn.FILTERXML(_xlfn.WEBSERVICE("viacep.com.br/ws/"&amp;TabelaPj[[#This Row],[CEP]]&amp;"/xml/"),"//localidade")</f>
        <v>Bady Bassitt</v>
      </c>
      <c r="K21" s="10" t="str">
        <f>_xlfn.FILTERXML(_xlfn.WEBSERVICE("viacep.com.br/ws/"&amp;TabelaPj[[#This Row],[CEP]]&amp;"/xml/"),"//uf")</f>
        <v>SP</v>
      </c>
      <c r="L21" s="72" t="s">
        <v>68</v>
      </c>
      <c r="M21" s="6" t="s">
        <v>303</v>
      </c>
      <c r="N21" s="6" t="s">
        <v>1</v>
      </c>
      <c r="O21" s="6"/>
    </row>
    <row r="22" spans="1:15" x14ac:dyDescent="0.45">
      <c r="A22" s="25">
        <f>ROW(A21 )</f>
        <v>21</v>
      </c>
      <c r="B22" s="14" t="s">
        <v>389</v>
      </c>
      <c r="C22" s="29" t="s">
        <v>390</v>
      </c>
      <c r="D22" s="20" t="s">
        <v>393</v>
      </c>
      <c r="E22" s="42" t="s">
        <v>392</v>
      </c>
      <c r="F22" s="10" t="str">
        <f>_xlfn.FILTERXML(_xlfn.WEBSERVICE("viacep.com.br/ws/"&amp;TabelaPj[[#This Row],[CEP]]&amp;"/xml/"),"//logradouro")</f>
        <v>Rua Paraná</v>
      </c>
      <c r="G22" s="28" t="s">
        <v>391</v>
      </c>
      <c r="H22" s="28"/>
      <c r="I22" s="10" t="str">
        <f>_xlfn.FILTERXML(_xlfn.WEBSERVICE("viacep.com.br/ws/"&amp;TabelaPj[[#This Row],[CEP]]&amp;"/xml/"),"//bairro")</f>
        <v>Vila Santana</v>
      </c>
      <c r="J22" s="10" t="str">
        <f>_xlfn.FILTERXML(_xlfn.WEBSERVICE("viacep.com.br/ws/"&amp;TabelaPj[[#This Row],[CEP]]&amp;"/xml/"),"//localidade")</f>
        <v>Fernandópolis</v>
      </c>
      <c r="K22" s="10" t="str">
        <f>_xlfn.FILTERXML(_xlfn.WEBSERVICE("viacep.com.br/ws/"&amp;TabelaPj[[#This Row],[CEP]]&amp;"/xml/"),"//uf")</f>
        <v>SP</v>
      </c>
      <c r="L22" s="72" t="s">
        <v>68</v>
      </c>
      <c r="M22" s="6" t="s">
        <v>2</v>
      </c>
      <c r="N22" s="6" t="s">
        <v>1</v>
      </c>
      <c r="O22" s="6" t="s">
        <v>251</v>
      </c>
    </row>
    <row r="23" spans="1:15" x14ac:dyDescent="0.45">
      <c r="A23" s="25">
        <f>ROW(A22 )</f>
        <v>22</v>
      </c>
      <c r="B23" s="14" t="s">
        <v>395</v>
      </c>
      <c r="C23" s="29" t="s">
        <v>396</v>
      </c>
      <c r="D23" s="20" t="s">
        <v>394</v>
      </c>
      <c r="E23" s="42" t="s">
        <v>397</v>
      </c>
      <c r="F23" s="10" t="str">
        <f>_xlfn.FILTERXML(_xlfn.WEBSERVICE("viacep.com.br/ws/"&amp;TabelaPj[[#This Row],[CEP]]&amp;"/xml/"),"//logradouro")</f>
        <v>Rua José Picerni</v>
      </c>
      <c r="G23" s="28" t="s">
        <v>398</v>
      </c>
      <c r="H23" s="28"/>
      <c r="I23" s="10" t="str">
        <f>_xlfn.FILTERXML(_xlfn.WEBSERVICE("viacep.com.br/ws/"&amp;TabelaPj[[#This Row],[CEP]]&amp;"/xml/"),"//bairro")</f>
        <v>Jardim Panorama</v>
      </c>
      <c r="J23" s="10" t="str">
        <f>_xlfn.FILTERXML(_xlfn.WEBSERVICE("viacep.com.br/ws/"&amp;TabelaPj[[#This Row],[CEP]]&amp;"/xml/"),"//localidade")</f>
        <v>São José do Rio Preto</v>
      </c>
      <c r="K23" s="10" t="str">
        <f>_xlfn.FILTERXML(_xlfn.WEBSERVICE("viacep.com.br/ws/"&amp;TabelaPj[[#This Row],[CEP]]&amp;"/xml/"),"//uf")</f>
        <v>SP</v>
      </c>
      <c r="L23" s="72" t="s">
        <v>68</v>
      </c>
      <c r="M23" s="6" t="s">
        <v>2</v>
      </c>
      <c r="N23" s="6" t="s">
        <v>1</v>
      </c>
      <c r="O23" s="6" t="s">
        <v>251</v>
      </c>
    </row>
  </sheetData>
  <dataValidations count="2">
    <dataValidation type="list" allowBlank="1" showInputMessage="1" showErrorMessage="1" sqref="N1:N1048576">
      <formula1>"cliente, adverso"</formula1>
    </dataValidation>
    <dataValidation type="list" allowBlank="1" showInputMessage="1" showErrorMessage="1" sqref="M1:M1048576">
      <formula1>"Gomide, GFA, BV"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os"/>
  <dimension ref="A1:J9"/>
  <sheetViews>
    <sheetView workbookViewId="0">
      <selection activeCell="B25" sqref="B25"/>
    </sheetView>
  </sheetViews>
  <sheetFormatPr defaultRowHeight="14.25" x14ac:dyDescent="0.45"/>
  <cols>
    <col min="1" max="1" width="5.265625" customWidth="1"/>
    <col min="2" max="2" width="25" customWidth="1"/>
    <col min="3" max="3" width="12" bestFit="1" customWidth="1"/>
    <col min="4" max="4" width="16" bestFit="1" customWidth="1"/>
    <col min="5" max="5" width="20.265625" customWidth="1"/>
    <col min="6" max="6" width="22.73046875" customWidth="1"/>
    <col min="7" max="8" width="16.59765625" customWidth="1"/>
    <col min="9" max="9" width="22.33203125" bestFit="1" customWidth="1"/>
    <col min="10" max="10" width="27.53125" bestFit="1" customWidth="1"/>
  </cols>
  <sheetData>
    <row r="1" spans="1:10" ht="15.75" x14ac:dyDescent="0.5">
      <c r="A1" s="2" t="s">
        <v>231</v>
      </c>
      <c r="B1" s="26" t="s">
        <v>195</v>
      </c>
      <c r="C1" s="26" t="s">
        <v>187</v>
      </c>
      <c r="D1" s="26" t="s">
        <v>188</v>
      </c>
      <c r="E1" s="3" t="s">
        <v>232</v>
      </c>
      <c r="F1" s="3" t="s">
        <v>233</v>
      </c>
      <c r="G1" s="75" t="s">
        <v>385</v>
      </c>
      <c r="H1" s="81" t="s">
        <v>432</v>
      </c>
      <c r="I1" s="74" t="s">
        <v>386</v>
      </c>
      <c r="J1" s="74" t="s">
        <v>399</v>
      </c>
    </row>
    <row r="2" spans="1:10" x14ac:dyDescent="0.45">
      <c r="A2" s="16">
        <f>ROW(A1 )</f>
        <v>1</v>
      </c>
      <c r="B2" s="14" t="s">
        <v>267</v>
      </c>
      <c r="C2" s="44" t="s">
        <v>262</v>
      </c>
      <c r="D2" s="44" t="s">
        <v>230</v>
      </c>
      <c r="E2" s="5"/>
      <c r="F2" s="20"/>
      <c r="G2" s="76"/>
      <c r="H2" s="77"/>
      <c r="I2" s="39"/>
      <c r="J2" s="55"/>
    </row>
    <row r="3" spans="1:10" x14ac:dyDescent="0.45">
      <c r="A3" s="25">
        <f>ROW(A2 )</f>
        <v>2</v>
      </c>
      <c r="B3" s="44"/>
      <c r="C3" s="44"/>
      <c r="D3" s="44"/>
      <c r="E3" s="14"/>
      <c r="F3" s="20"/>
      <c r="G3" s="76"/>
      <c r="H3" s="77"/>
      <c r="I3" s="39"/>
      <c r="J3" s="55"/>
    </row>
    <row r="4" spans="1:10" x14ac:dyDescent="0.45">
      <c r="A4" s="25">
        <f>ROW(A3 )</f>
        <v>3</v>
      </c>
      <c r="B4" s="44"/>
      <c r="C4" s="44"/>
      <c r="D4" s="44"/>
      <c r="E4" s="5"/>
      <c r="F4" s="59"/>
      <c r="G4" s="76"/>
      <c r="H4" s="77"/>
      <c r="I4" s="39"/>
      <c r="J4" s="55"/>
    </row>
    <row r="5" spans="1:10" x14ac:dyDescent="0.45">
      <c r="A5" s="25">
        <f>ROW(A4 )</f>
        <v>4</v>
      </c>
      <c r="B5" s="44"/>
      <c r="C5" s="44"/>
      <c r="D5" s="44"/>
      <c r="E5" s="5"/>
      <c r="F5" s="59"/>
      <c r="G5" s="76"/>
      <c r="H5" s="77"/>
      <c r="I5" s="39"/>
      <c r="J5" s="55"/>
    </row>
    <row r="9" spans="1:10" x14ac:dyDescent="0.45">
      <c r="F9" s="65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eticoes"/>
  <dimension ref="A1:M21"/>
  <sheetViews>
    <sheetView showGridLines="0" tabSelected="1" zoomScale="90" zoomScaleNormal="90" workbookViewId="0">
      <pane xSplit="2" topLeftCell="C1" activePane="topRight" state="frozen"/>
      <selection pane="topRight" activeCell="A2" sqref="A2"/>
    </sheetView>
  </sheetViews>
  <sheetFormatPr defaultRowHeight="14.25" x14ac:dyDescent="0.45"/>
  <cols>
    <col min="1" max="1" width="6.06640625" customWidth="1"/>
    <col min="2" max="2" width="23.86328125" style="45" customWidth="1"/>
    <col min="3" max="3" width="27.06640625" style="64" bestFit="1" customWidth="1"/>
    <col min="4" max="4" width="21.06640625" style="22" customWidth="1"/>
    <col min="5" max="5" width="49.1328125" style="43" bestFit="1" customWidth="1"/>
    <col min="6" max="6" width="10.19921875" bestFit="1" customWidth="1"/>
    <col min="7" max="7" width="20.73046875" bestFit="1" customWidth="1"/>
    <col min="8" max="8" width="11.265625" bestFit="1" customWidth="1"/>
    <col min="9" max="9" width="17" bestFit="1" customWidth="1"/>
    <col min="10" max="10" width="18.3984375" bestFit="1" customWidth="1"/>
    <col min="11" max="11" width="18.73046875" bestFit="1" customWidth="1"/>
    <col min="12" max="12" width="13.3984375" bestFit="1" customWidth="1"/>
    <col min="13" max="13" width="20.73046875" style="1" bestFit="1" customWidth="1"/>
    <col min="14" max="20" width="20.73046875" customWidth="1"/>
    <col min="21" max="22" width="15.265625" bestFit="1" customWidth="1"/>
  </cols>
  <sheetData>
    <row r="1" spans="1:13" ht="15.75" x14ac:dyDescent="0.5">
      <c r="A1" s="2" t="s">
        <v>194</v>
      </c>
      <c r="B1" s="26" t="s">
        <v>195</v>
      </c>
      <c r="C1" s="63" t="s">
        <v>192</v>
      </c>
      <c r="D1" s="63" t="s">
        <v>425</v>
      </c>
      <c r="E1" s="26" t="s">
        <v>196</v>
      </c>
      <c r="F1" s="74" t="s">
        <v>387</v>
      </c>
      <c r="G1" s="74" t="s">
        <v>400</v>
      </c>
      <c r="M1"/>
    </row>
    <row r="2" spans="1:13" x14ac:dyDescent="0.45">
      <c r="A2" s="16">
        <f t="shared" ref="A2:A7" si="0">ROW(A1 )</f>
        <v>1</v>
      </c>
      <c r="B2" s="14" t="s">
        <v>250</v>
      </c>
      <c r="C2" s="58" t="s">
        <v>246</v>
      </c>
      <c r="D2" s="59" t="s">
        <v>403</v>
      </c>
      <c r="E2" s="43" t="s">
        <v>430</v>
      </c>
      <c r="F2" s="77">
        <v>0</v>
      </c>
      <c r="G2" s="80">
        <v>45170</v>
      </c>
    </row>
    <row r="3" spans="1:13" x14ac:dyDescent="0.45">
      <c r="A3" s="25">
        <f t="shared" si="0"/>
        <v>2</v>
      </c>
      <c r="B3" s="14" t="s">
        <v>267</v>
      </c>
      <c r="C3" s="14" t="s">
        <v>244</v>
      </c>
      <c r="D3" s="59" t="s">
        <v>437</v>
      </c>
      <c r="E3" s="42" t="s">
        <v>435</v>
      </c>
      <c r="F3" s="77">
        <v>0</v>
      </c>
      <c r="G3" s="80">
        <v>44055</v>
      </c>
    </row>
    <row r="4" spans="1:13" x14ac:dyDescent="0.45">
      <c r="A4" s="25">
        <f t="shared" si="0"/>
        <v>3</v>
      </c>
      <c r="B4" s="73" t="s">
        <v>273</v>
      </c>
      <c r="C4" s="58" t="s">
        <v>244</v>
      </c>
      <c r="D4" s="59" t="s">
        <v>436</v>
      </c>
      <c r="E4" s="42" t="str">
        <f>VLOOKUP(C4,Modelos!B:E,3,FALSE)</f>
        <v>Unidade_devedora;Matricula_do_imovel;CRI;Debito</v>
      </c>
      <c r="F4" s="77"/>
      <c r="G4" s="39"/>
    </row>
    <row r="5" spans="1:13" x14ac:dyDescent="0.45">
      <c r="A5" s="25">
        <f t="shared" si="0"/>
        <v>4</v>
      </c>
      <c r="B5" s="44" t="s">
        <v>250</v>
      </c>
      <c r="C5" s="58" t="s">
        <v>244</v>
      </c>
      <c r="D5" s="20" t="str">
        <f>VLOOKUP(C5,Modelos!B:D,2,FALSE)</f>
        <v>Autor;Reu</v>
      </c>
      <c r="E5" s="42" t="str">
        <f>VLOOKUP(C5,Modelos!B:E,3,FALSE)</f>
        <v>Unidade_devedora;Matricula_do_imovel;CRI;Debito</v>
      </c>
      <c r="F5" s="77"/>
      <c r="G5" s="39"/>
    </row>
    <row r="6" spans="1:13" x14ac:dyDescent="0.45">
      <c r="A6" s="25">
        <f t="shared" si="0"/>
        <v>5</v>
      </c>
      <c r="B6" s="44" t="s">
        <v>250</v>
      </c>
      <c r="C6" s="58" t="s">
        <v>244</v>
      </c>
      <c r="D6" s="20" t="str">
        <f>VLOOKUP(C6,Modelos!B:D,2,FALSE)</f>
        <v>Autor;Reu</v>
      </c>
      <c r="E6" s="42" t="str">
        <f>VLOOKUP(C6,Modelos!B:E,3,FALSE)</f>
        <v>Unidade_devedora;Matricula_do_imovel;CRI;Debito</v>
      </c>
      <c r="F6" s="77"/>
      <c r="G6" s="39"/>
    </row>
    <row r="7" spans="1:13" x14ac:dyDescent="0.45">
      <c r="A7" s="25">
        <f t="shared" si="0"/>
        <v>6</v>
      </c>
      <c r="B7" s="44" t="s">
        <v>250</v>
      </c>
      <c r="C7" s="58" t="s">
        <v>244</v>
      </c>
      <c r="D7" s="20" t="str">
        <f>VLOOKUP(C7,Modelos!B:D,2,FALSE)</f>
        <v>Autor;Reu</v>
      </c>
      <c r="E7" s="42" t="str">
        <f>VLOOKUP(C7,Modelos!B:E,3,FALSE)</f>
        <v>Unidade_devedora;Matricula_do_imovel;CRI;Debito</v>
      </c>
      <c r="F7" s="77"/>
      <c r="G7" s="39"/>
    </row>
    <row r="8" spans="1:13" x14ac:dyDescent="0.45">
      <c r="A8" s="25">
        <f t="shared" ref="A8:A17" si="1">ROW(A7 )</f>
        <v>7</v>
      </c>
      <c r="B8" s="44" t="s">
        <v>250</v>
      </c>
      <c r="C8" s="14" t="s">
        <v>243</v>
      </c>
      <c r="D8" s="20" t="str">
        <f>VLOOKUP(C8,Modelos!B:D,2,FALSE)</f>
        <v>Reu</v>
      </c>
      <c r="E8" s="42" t="str">
        <f>VLOOKUP(C8,Modelos!B:E,3,FALSE)</f>
        <v>Unidade_devedora;Matricula_do_imovel;Debito;Honorarios</v>
      </c>
      <c r="F8" s="77"/>
      <c r="G8" s="39"/>
    </row>
    <row r="9" spans="1:13" x14ac:dyDescent="0.45">
      <c r="A9" s="25">
        <f t="shared" si="1"/>
        <v>8</v>
      </c>
      <c r="B9" s="44" t="s">
        <v>250</v>
      </c>
      <c r="C9" s="14" t="s">
        <v>243</v>
      </c>
      <c r="D9" s="20" t="str">
        <f>VLOOKUP(C9,Modelos!B:D,2,FALSE)</f>
        <v>Reu</v>
      </c>
      <c r="E9" s="42" t="str">
        <f>VLOOKUP(C9,Modelos!B:E,3,FALSE)</f>
        <v>Unidade_devedora;Matricula_do_imovel;Debito;Honorarios</v>
      </c>
      <c r="F9" s="77"/>
      <c r="G9" s="39"/>
    </row>
    <row r="10" spans="1:13" x14ac:dyDescent="0.45">
      <c r="A10" s="25">
        <f t="shared" si="1"/>
        <v>9</v>
      </c>
      <c r="B10" s="44" t="s">
        <v>250</v>
      </c>
      <c r="C10" s="60" t="s">
        <v>243</v>
      </c>
      <c r="D10" s="20" t="str">
        <f>VLOOKUP(C10,Modelos!B:D,2,FALSE)</f>
        <v>Reu</v>
      </c>
      <c r="E10" s="42" t="str">
        <f>VLOOKUP(C10,Modelos!B:E,3,FALSE)</f>
        <v>Unidade_devedora;Matricula_do_imovel;Debito;Honorarios</v>
      </c>
      <c r="F10" s="77"/>
      <c r="G10" s="39"/>
    </row>
    <row r="11" spans="1:13" x14ac:dyDescent="0.45">
      <c r="A11" s="25">
        <f t="shared" si="1"/>
        <v>10</v>
      </c>
      <c r="B11" s="44" t="s">
        <v>250</v>
      </c>
      <c r="C11" s="60" t="s">
        <v>243</v>
      </c>
      <c r="D11" s="20" t="str">
        <f>VLOOKUP(C11,Modelos!B:D,2,FALSE)</f>
        <v>Reu</v>
      </c>
      <c r="E11" s="42" t="str">
        <f>VLOOKUP(C11,Modelos!B:E,3,FALSE)</f>
        <v>Unidade_devedora;Matricula_do_imovel;Debito;Honorarios</v>
      </c>
      <c r="F11" s="77"/>
      <c r="G11" s="39"/>
    </row>
    <row r="12" spans="1:13" x14ac:dyDescent="0.45">
      <c r="A12" s="25">
        <f t="shared" si="1"/>
        <v>11</v>
      </c>
      <c r="B12" s="44" t="s">
        <v>250</v>
      </c>
      <c r="C12" s="60" t="s">
        <v>243</v>
      </c>
      <c r="D12" s="20" t="str">
        <f>VLOOKUP(C12,Modelos!B:D,2,FALSE)</f>
        <v>Reu</v>
      </c>
      <c r="E12" s="42" t="str">
        <f>VLOOKUP(C12,Modelos!B:E,3,FALSE)</f>
        <v>Unidade_devedora;Matricula_do_imovel;Debito;Honorarios</v>
      </c>
      <c r="F12" s="77"/>
      <c r="G12" s="39"/>
    </row>
    <row r="13" spans="1:13" x14ac:dyDescent="0.45">
      <c r="A13" s="25">
        <f t="shared" si="1"/>
        <v>12</v>
      </c>
      <c r="B13" s="44" t="s">
        <v>250</v>
      </c>
      <c r="C13" s="60" t="s">
        <v>243</v>
      </c>
      <c r="D13" s="20" t="str">
        <f>VLOOKUP(C13,Modelos!B:D,2,FALSE)</f>
        <v>Reu</v>
      </c>
      <c r="E13" s="42" t="str">
        <f>VLOOKUP(C13,Modelos!B:E,3,FALSE)</f>
        <v>Unidade_devedora;Matricula_do_imovel;Debito;Honorarios</v>
      </c>
      <c r="F13" s="77"/>
      <c r="G13" s="39"/>
    </row>
    <row r="14" spans="1:13" x14ac:dyDescent="0.45">
      <c r="A14" s="25">
        <f t="shared" si="1"/>
        <v>13</v>
      </c>
      <c r="B14" s="44" t="s">
        <v>250</v>
      </c>
      <c r="C14" s="60" t="s">
        <v>243</v>
      </c>
      <c r="D14" s="20" t="str">
        <f>VLOOKUP(C14,Modelos!B:D,2,FALSE)</f>
        <v>Reu</v>
      </c>
      <c r="E14" s="42" t="str">
        <f>VLOOKUP(C14,Modelos!B:E,3,FALSE)</f>
        <v>Unidade_devedora;Matricula_do_imovel;Debito;Honorarios</v>
      </c>
      <c r="F14" s="77"/>
      <c r="G14" s="39"/>
    </row>
    <row r="15" spans="1:13" x14ac:dyDescent="0.45">
      <c r="A15" s="25">
        <f t="shared" si="1"/>
        <v>14</v>
      </c>
      <c r="B15" s="44" t="s">
        <v>250</v>
      </c>
      <c r="C15" s="60" t="s">
        <v>243</v>
      </c>
      <c r="D15" s="20" t="str">
        <f>VLOOKUP(C15,Modelos!B:D,2,FALSE)</f>
        <v>Reu</v>
      </c>
      <c r="E15" s="42" t="str">
        <f>VLOOKUP(C15,Modelos!B:E,3,FALSE)</f>
        <v>Unidade_devedora;Matricula_do_imovel;Debito;Honorarios</v>
      </c>
      <c r="F15" s="77"/>
      <c r="G15" s="39"/>
    </row>
    <row r="16" spans="1:13" x14ac:dyDescent="0.45">
      <c r="A16" s="25">
        <f t="shared" si="1"/>
        <v>15</v>
      </c>
      <c r="B16" s="44" t="s">
        <v>250</v>
      </c>
      <c r="C16" s="60" t="s">
        <v>243</v>
      </c>
      <c r="D16" s="20" t="str">
        <f>VLOOKUP(C16,Modelos!B:D,2,FALSE)</f>
        <v>Reu</v>
      </c>
      <c r="E16" s="42" t="str">
        <f>VLOOKUP(C16,Modelos!B:E,3,FALSE)</f>
        <v>Unidade_devedora;Matricula_do_imovel;Debito;Honorarios</v>
      </c>
      <c r="F16" s="77"/>
      <c r="G16" s="39"/>
    </row>
    <row r="17" spans="1:7" x14ac:dyDescent="0.45">
      <c r="A17" s="25">
        <f t="shared" si="1"/>
        <v>16</v>
      </c>
      <c r="B17" s="44" t="s">
        <v>250</v>
      </c>
      <c r="C17" s="60" t="s">
        <v>243</v>
      </c>
      <c r="D17" s="20" t="s">
        <v>328</v>
      </c>
      <c r="E17" s="42" t="s">
        <v>434</v>
      </c>
      <c r="F17" s="77"/>
      <c r="G17" s="39"/>
    </row>
    <row r="18" spans="1:7" x14ac:dyDescent="0.45">
      <c r="A18" s="78">
        <f>ROW(A17 )</f>
        <v>17</v>
      </c>
      <c r="B18" s="44" t="s">
        <v>250</v>
      </c>
      <c r="C18" s="58" t="s">
        <v>246</v>
      </c>
      <c r="D18" s="20" t="str">
        <f>VLOOKUP(C18,Modelos!B:D,2,FALSE)</f>
        <v>Cliente</v>
      </c>
      <c r="E18" s="42" t="str">
        <f>VLOOKUP(C18,Modelos!B:E,3,FALSE)</f>
        <v>Unidade_devedora</v>
      </c>
      <c r="F18" s="77"/>
      <c r="G18" s="39"/>
    </row>
    <row r="19" spans="1:7" x14ac:dyDescent="0.45">
      <c r="A19" s="25">
        <f>ROW(A18 )</f>
        <v>18</v>
      </c>
      <c r="B19" s="44" t="s">
        <v>250</v>
      </c>
      <c r="C19" s="58" t="s">
        <v>246</v>
      </c>
      <c r="D19" s="20" t="str">
        <f>VLOOKUP(C19,Modelos!B:D,2,FALSE)</f>
        <v>Cliente</v>
      </c>
      <c r="E19" s="42" t="str">
        <f>VLOOKUP(C19,Modelos!B:E,3,FALSE)</f>
        <v>Unidade_devedora</v>
      </c>
      <c r="F19" s="77"/>
      <c r="G19" s="39"/>
    </row>
    <row r="20" spans="1:7" x14ac:dyDescent="0.45">
      <c r="A20" s="25">
        <f>ROW(A19 )</f>
        <v>19</v>
      </c>
      <c r="B20" s="44" t="s">
        <v>250</v>
      </c>
      <c r="C20" s="58" t="s">
        <v>246</v>
      </c>
      <c r="D20" s="20" t="str">
        <f>VLOOKUP(C20,Modelos!B:D,2,FALSE)</f>
        <v>Cliente</v>
      </c>
      <c r="E20" s="42" t="str">
        <f>VLOOKUP(C20,Modelos!B:E,3,FALSE)</f>
        <v>Unidade_devedora</v>
      </c>
      <c r="F20" s="77"/>
      <c r="G20" s="39"/>
    </row>
    <row r="21" spans="1:7" x14ac:dyDescent="0.45">
      <c r="A21" s="25">
        <f>ROW(A20 )</f>
        <v>20</v>
      </c>
      <c r="B21" s="44" t="s">
        <v>250</v>
      </c>
      <c r="C21" s="58" t="s">
        <v>246</v>
      </c>
      <c r="D21" s="20" t="str">
        <f>VLOOKUP(C21,Modelos!B:D,2,FALSE)</f>
        <v>Cliente</v>
      </c>
      <c r="E21" s="42" t="str">
        <f>VLOOKUP(C21,Modelos!B:E,3,FALSE)</f>
        <v>Unidade_devedora</v>
      </c>
      <c r="F21" s="77"/>
      <c r="G21" s="39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Modelos!$B$2:$B$999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odelos"/>
  <dimension ref="A1:N13"/>
  <sheetViews>
    <sheetView showGridLines="0" zoomScaleNormal="100" workbookViewId="0">
      <selection activeCell="D14" sqref="D14"/>
    </sheetView>
  </sheetViews>
  <sheetFormatPr defaultRowHeight="14.25" x14ac:dyDescent="0.45"/>
  <cols>
    <col min="1" max="1" width="5.796875" customWidth="1"/>
    <col min="2" max="2" width="29.73046875" style="11" bestFit="1" customWidth="1"/>
    <col min="3" max="3" width="29.73046875" style="11" customWidth="1"/>
    <col min="4" max="4" width="65.19921875" bestFit="1" customWidth="1"/>
    <col min="5" max="5" width="11.59765625" bestFit="1" customWidth="1"/>
    <col min="6" max="6" width="17.265625" bestFit="1" customWidth="1"/>
    <col min="7" max="7" width="14.59765625" bestFit="1" customWidth="1"/>
    <col min="8" max="8" width="13.73046875" bestFit="1" customWidth="1"/>
    <col min="9" max="9" width="11.265625" bestFit="1" customWidth="1"/>
    <col min="10" max="10" width="17" bestFit="1" customWidth="1"/>
    <col min="11" max="11" width="18.3984375" bestFit="1" customWidth="1"/>
    <col min="12" max="12" width="18.73046875" bestFit="1" customWidth="1"/>
    <col min="13" max="13" width="13.3984375" bestFit="1" customWidth="1"/>
    <col min="14" max="14" width="20.73046875" style="1" bestFit="1" customWidth="1"/>
    <col min="15" max="21" width="20.73046875" customWidth="1"/>
    <col min="22" max="23" width="15.265625" bestFit="1" customWidth="1"/>
  </cols>
  <sheetData>
    <row r="1" spans="1:14" ht="15.75" x14ac:dyDescent="0.5">
      <c r="A1" s="7" t="s">
        <v>191</v>
      </c>
      <c r="B1" s="24" t="s">
        <v>417</v>
      </c>
      <c r="C1" s="24" t="s">
        <v>431</v>
      </c>
      <c r="D1" s="8" t="s">
        <v>193</v>
      </c>
      <c r="N1"/>
    </row>
    <row r="2" spans="1:14" x14ac:dyDescent="0.45">
      <c r="A2" s="16">
        <f>ROW(A1 )</f>
        <v>1</v>
      </c>
      <c r="B2" s="14" t="s">
        <v>246</v>
      </c>
      <c r="C2" s="14" t="s">
        <v>418</v>
      </c>
      <c r="D2" s="5" t="s">
        <v>253</v>
      </c>
    </row>
    <row r="3" spans="1:14" x14ac:dyDescent="0.45">
      <c r="A3" s="16">
        <f t="shared" ref="A3:A7" si="0">ROW(A2 )</f>
        <v>2</v>
      </c>
      <c r="B3" s="14" t="s">
        <v>249</v>
      </c>
      <c r="C3" s="14" t="s">
        <v>418</v>
      </c>
      <c r="D3" s="5"/>
    </row>
    <row r="4" spans="1:14" x14ac:dyDescent="0.45">
      <c r="A4" s="16">
        <f t="shared" si="0"/>
        <v>3</v>
      </c>
      <c r="B4" s="14" t="s">
        <v>248</v>
      </c>
      <c r="C4" s="14" t="s">
        <v>418</v>
      </c>
      <c r="D4" s="9"/>
    </row>
    <row r="5" spans="1:14" x14ac:dyDescent="0.45">
      <c r="A5" s="16">
        <f t="shared" si="0"/>
        <v>4</v>
      </c>
      <c r="B5" s="14" t="s">
        <v>247</v>
      </c>
      <c r="C5" s="14" t="s">
        <v>418</v>
      </c>
      <c r="D5" s="5"/>
    </row>
    <row r="6" spans="1:14" x14ac:dyDescent="0.45">
      <c r="A6" s="16">
        <f t="shared" si="0"/>
        <v>5</v>
      </c>
      <c r="B6" s="14" t="s">
        <v>244</v>
      </c>
      <c r="C6" s="14" t="s">
        <v>426</v>
      </c>
      <c r="D6" s="5" t="s">
        <v>255</v>
      </c>
    </row>
    <row r="7" spans="1:14" x14ac:dyDescent="0.45">
      <c r="A7" s="16">
        <f t="shared" si="0"/>
        <v>6</v>
      </c>
      <c r="B7" s="14" t="s">
        <v>243</v>
      </c>
      <c r="C7" s="14" t="s">
        <v>433</v>
      </c>
      <c r="D7" s="5" t="s">
        <v>256</v>
      </c>
    </row>
    <row r="8" spans="1:14" x14ac:dyDescent="0.45">
      <c r="A8" s="25">
        <f>ROW(A7 )</f>
        <v>7</v>
      </c>
      <c r="B8" s="14" t="s">
        <v>245</v>
      </c>
      <c r="C8" s="14" t="s">
        <v>426</v>
      </c>
      <c r="D8" s="5" t="s">
        <v>254</v>
      </c>
    </row>
    <row r="9" spans="1:14" x14ac:dyDescent="0.45">
      <c r="A9" s="25">
        <f>ROW(A8 )</f>
        <v>8</v>
      </c>
      <c r="B9" s="14" t="s">
        <v>427</v>
      </c>
      <c r="C9" s="14" t="s">
        <v>426</v>
      </c>
      <c r="D9" s="70"/>
    </row>
    <row r="10" spans="1:14" x14ac:dyDescent="0.45">
      <c r="A10" s="25">
        <f>ROW(A9 )</f>
        <v>9</v>
      </c>
      <c r="B10" s="14" t="s">
        <v>292</v>
      </c>
      <c r="C10" s="14" t="s">
        <v>428</v>
      </c>
      <c r="D10" s="5" t="s">
        <v>294</v>
      </c>
    </row>
    <row r="11" spans="1:14" x14ac:dyDescent="0.45">
      <c r="A11" s="25">
        <f>ROW(A10 )</f>
        <v>10</v>
      </c>
      <c r="B11" s="14" t="s">
        <v>293</v>
      </c>
      <c r="C11" s="14" t="s">
        <v>429</v>
      </c>
      <c r="D11" s="5"/>
    </row>
    <row r="12" spans="1:14" x14ac:dyDescent="0.45">
      <c r="A12" s="25">
        <f>ROW(A11 )</f>
        <v>11</v>
      </c>
      <c r="B12" s="14" t="s">
        <v>295</v>
      </c>
      <c r="C12" s="14" t="s">
        <v>429</v>
      </c>
      <c r="D12" s="5"/>
    </row>
    <row r="13" spans="1:14" x14ac:dyDescent="0.45">
      <c r="A13" s="25">
        <f>ROW(A12 )</f>
        <v>12</v>
      </c>
      <c r="B13" s="14" t="s">
        <v>438</v>
      </c>
      <c r="C13" s="14" t="s">
        <v>418</v>
      </c>
      <c r="D13" s="5" t="s">
        <v>439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C42812D-67C9-4F8D-98D6-079685E552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PF</vt:lpstr>
      <vt:lpstr>PJ</vt:lpstr>
      <vt:lpstr>Processos</vt:lpstr>
      <vt:lpstr>Peticoes</vt:lpstr>
      <vt:lpstr>Modelos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alonp</dc:creator>
  <cp:lastModifiedBy>Alberto</cp:lastModifiedBy>
  <dcterms:created xsi:type="dcterms:W3CDTF">2019-11-29T15:58:26Z</dcterms:created>
  <dcterms:modified xsi:type="dcterms:W3CDTF">2023-09-29T15:55:39Z</dcterms:modified>
</cp:coreProperties>
</file>